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d4004e857a11d85/Desktop/KPMG sem3/Business forcasting/"/>
    </mc:Choice>
  </mc:AlternateContent>
  <xr:revisionPtr revIDLastSave="11" documentId="8_{E653814F-A1F7-4967-A72F-28FE813766EF}" xr6:coauthVersionLast="47" xr6:coauthVersionMax="47" xr10:uidLastSave="{0DB78150-FD6D-47C8-BCE0-7D7DBA28F191}"/>
  <bookViews>
    <workbookView xWindow="-108" yWindow="-108" windowWidth="23256" windowHeight="12576" firstSheet="2" activeTab="5" xr2:uid="{00000000-000D-0000-FFFF-FFFF00000000}"/>
  </bookViews>
  <sheets>
    <sheet name="fORCAST" sheetId="2" r:id="rId1"/>
    <sheet name="WEBVISIT_Sales_LINEAR" sheetId="3" r:id="rId2"/>
    <sheet name="adv_ sales_linear" sheetId="4" r:id="rId3"/>
    <sheet name="MULTIPLE REGRESSION" sheetId="5" r:id="rId4"/>
    <sheet name="Discount_sales_slr" sheetId="6" r:id="rId5"/>
    <sheet name="Historical_Data" sheetId="1" r:id="rId6"/>
  </sheets>
  <definedNames>
    <definedName name="_xlnm._FilterDatabase" localSheetId="5" hidden="1">Historical_Data!$A$1:$H$37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" l="1"/>
  <c r="J15" i="1"/>
  <c r="J13" i="1"/>
  <c r="J11" i="1"/>
  <c r="J9" i="1"/>
  <c r="C38" i="2" l="1"/>
  <c r="C42" i="2"/>
  <c r="C46" i="2"/>
  <c r="C50" i="2"/>
  <c r="C54" i="2"/>
  <c r="C58" i="2"/>
  <c r="C44" i="2"/>
  <c r="C48" i="2"/>
  <c r="C56" i="2"/>
  <c r="C41" i="2"/>
  <c r="C53" i="2"/>
  <c r="C61" i="2"/>
  <c r="C39" i="2"/>
  <c r="C43" i="2"/>
  <c r="C47" i="2"/>
  <c r="C51" i="2"/>
  <c r="C55" i="2"/>
  <c r="C59" i="2"/>
  <c r="C40" i="2"/>
  <c r="C52" i="2"/>
  <c r="C60" i="2"/>
  <c r="C45" i="2"/>
  <c r="C49" i="2"/>
  <c r="C57" i="2"/>
  <c r="D57" i="2" l="1"/>
  <c r="D45" i="2"/>
  <c r="E52" i="2"/>
  <c r="D59" i="2"/>
  <c r="D51" i="2"/>
  <c r="D43" i="2"/>
  <c r="D61" i="2"/>
  <c r="E41" i="2"/>
  <c r="D48" i="2"/>
  <c r="D58" i="2"/>
  <c r="D50" i="2"/>
  <c r="D42" i="2"/>
  <c r="E43" i="2"/>
  <c r="D41" i="2"/>
  <c r="E58" i="2"/>
  <c r="E42" i="2"/>
  <c r="E60" i="2"/>
  <c r="D40" i="2"/>
  <c r="D47" i="2"/>
  <c r="D53" i="2"/>
  <c r="D44" i="2"/>
  <c r="D46" i="2"/>
  <c r="E49" i="2"/>
  <c r="E40" i="2"/>
  <c r="E47" i="2"/>
  <c r="E53" i="2"/>
  <c r="E44" i="2"/>
  <c r="E46" i="2"/>
  <c r="E57" i="2"/>
  <c r="E45" i="2"/>
  <c r="D52" i="2"/>
  <c r="E59" i="2"/>
  <c r="E51" i="2"/>
  <c r="E61" i="2"/>
  <c r="E48" i="2"/>
  <c r="E50" i="2"/>
  <c r="D49" i="2"/>
  <c r="D55" i="2"/>
  <c r="D39" i="2"/>
  <c r="D56" i="2"/>
  <c r="D54" i="2"/>
  <c r="D38" i="2"/>
  <c r="D60" i="2"/>
  <c r="E55" i="2"/>
  <c r="E39" i="2"/>
  <c r="E56" i="2"/>
  <c r="E54" i="2"/>
  <c r="E38" i="2"/>
</calcChain>
</file>

<file path=xl/sharedStrings.xml><?xml version="1.0" encoding="utf-8"?>
<sst xmlns="http://schemas.openxmlformats.org/spreadsheetml/2006/main" count="158" uniqueCount="73">
  <si>
    <t>Date</t>
  </si>
  <si>
    <t>Advertising_Spend</t>
  </si>
  <si>
    <t>Discount_Percentage</t>
  </si>
  <si>
    <t>Website_Visits</t>
  </si>
  <si>
    <t>Sales_Team_Size</t>
  </si>
  <si>
    <t>Average_Price</t>
  </si>
  <si>
    <t>Competitor_Index</t>
  </si>
  <si>
    <t>Sales</t>
  </si>
  <si>
    <t>Forecast(Sales)</t>
  </si>
  <si>
    <t>Lower Confidence Bound(Sales)</t>
  </si>
  <si>
    <t>Upper Confidence Bound(Sales)</t>
  </si>
  <si>
    <t xml:space="preserve">a) What is the target/dependent variable in this dataset? </t>
  </si>
  <si>
    <t>SALES</t>
  </si>
  <si>
    <t xml:space="preserve">b) Why is this variable considered the target variable? </t>
  </si>
  <si>
    <t>BECOZ IT IS OUR FINAL GOAL</t>
  </si>
  <si>
    <t>CORELATION Discount perenctage vs sales</t>
  </si>
  <si>
    <t>CORELATION Advertising_Spend vs sales</t>
  </si>
  <si>
    <t>CORELLATION WEBVISIT VS SALES</t>
  </si>
  <si>
    <t>SALES TEAM SIZE VS SALES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</si>
  <si>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</si>
  <si>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</si>
  <si>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</si>
  <si>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</si>
  <si>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</si>
  <si>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</si>
  <si>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</si>
  <si>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</si>
  <si>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</si>
  <si>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</si>
  <si>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</si>
  <si>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</si>
  <si>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</si>
  <si>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</si>
  <si>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</si>
  <si>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</si>
  <si>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</si>
  <si>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</si>
  <si>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</si>
  <si>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</si>
  <si>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</si>
  <si>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</si>
  <si>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</si>
  <si>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</si>
  <si>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 xml:space="preserve">2.Simple Linear Regression </t>
  </si>
  <si>
    <t xml:space="preserve">b)	Why did you select this variable? </t>
  </si>
  <si>
    <t>c) create a scatter plot between the predictor and Sales.</t>
  </si>
  <si>
    <t xml:space="preserve">d) What trend do you observe — positive, negative, or no clear relationship? </t>
  </si>
  <si>
    <t xml:space="preserve">e) Perform Linear Regression and write the regression equation. </t>
  </si>
  <si>
    <t xml:space="preserve">f) Interpret the slope/coefficient in business terms. </t>
  </si>
  <si>
    <t xml:space="preserve">g) What does the R² value tell you? </t>
  </si>
  <si>
    <t xml:space="preserve">3.Multiple Linear Regression </t>
  </si>
  <si>
    <t xml:space="preserve">a)  Which variables should be used as predictors for Multiple Linear Regression? </t>
  </si>
  <si>
    <t xml:space="preserve">b) Write the Multiple Regression equation using the Excel coefficients. </t>
  </si>
  <si>
    <t xml:space="preserve">c) Is the overall regression model statistically significant? Use the Significance F value. </t>
  </si>
  <si>
    <t xml:space="preserve">d). which factor has the most influence on Sales? </t>
  </si>
  <si>
    <t xml:space="preserve">e) Which factor has the least influence on Sales? </t>
  </si>
  <si>
    <t xml:space="preserve">f)  Which variables have a positive relationship with Sales and which have a negative relationship? </t>
  </si>
  <si>
    <t xml:space="preserve">g) Interpret the coefficient of the most influential factor. </t>
  </si>
  <si>
    <t xml:space="preserve">a) Which variable would you select as the predictor/independent variable for Linear Regression?  </t>
  </si>
  <si>
    <t>website visit because it has higher</t>
  </si>
  <si>
    <t xml:space="preserve">equation </t>
  </si>
  <si>
    <t>{Sales} = -79448.86 + 8.40030 {Website_Visits}</t>
  </si>
  <si>
    <t>For every 1 additional website visit, overall revenue/sales increase by approximately 8.40 units (e.g., $8.40 / ₹8.40)</t>
  </si>
  <si>
    <r>
      <rPr>
        <b/>
        <sz val="11"/>
        <color theme="1"/>
        <rFont val="Calibri"/>
        <family val="2"/>
        <scheme val="minor"/>
      </rPr>
      <t xml:space="preserve">ANS: </t>
    </r>
    <r>
      <rPr>
        <b/>
        <sz val="11"/>
        <color rgb="FFFF0000"/>
        <rFont val="Calibri"/>
        <family val="2"/>
        <scheme val="minor"/>
      </rPr>
      <t xml:space="preserve"> corellation with sales</t>
    </r>
    <r>
      <rPr>
        <sz val="11"/>
        <color theme="1"/>
        <rFont val="Calibri"/>
        <family val="2"/>
        <scheme val="minor"/>
      </rPr>
      <t xml:space="preserve"> </t>
    </r>
  </si>
  <si>
    <t>An $R^2$ value close to $0.90$ indicates that Website Visits is an extremely strong predictor of sales</t>
  </si>
  <si>
    <t>ADVERTISING SPEND, DIScount_percentage, WEBSITE_VISIT</t>
  </si>
  <si>
    <t>{Sales} = -92393.75 - 286.93 {Advertising_Spend} + 4394.10 {Discount\_Percentage} + 10.20{Website\_Visits}</t>
  </si>
  <si>
    <t>yes, SIGNIFICANCE VALUE = $6.17 x 10^{-24}</t>
  </si>
  <si>
    <t>Website_Visits has the most influence on Sales</t>
  </si>
  <si>
    <t>DISCOUNT PERCENTAGE VS SALES</t>
  </si>
  <si>
    <t xml:space="preserve">Discount_Percentage (Coefficient = $+4,394.10$): Higher discounts are associated with higher sales. </t>
  </si>
  <si>
    <t>Advertising_Spend (Coefficient = $-286.93$)</t>
  </si>
  <si>
    <r>
      <rPr>
        <b/>
        <sz val="11"/>
        <color rgb="FFFF0000"/>
        <rFont val="Calibri"/>
        <family val="2"/>
        <scheme val="minor"/>
      </rPr>
      <t xml:space="preserve">Website_Visits (with the highest $t$-stat of $10.24$ and lowest $p$-value of $1.25 \times 10^{-11}$). Its estimated coefficient is $+10.2037$. </t>
    </r>
    <r>
      <rPr>
        <sz val="11"/>
        <color theme="1"/>
        <rFont val="Calibri"/>
        <family val="2"/>
        <scheme val="minor"/>
      </rPr>
      <t xml:space="preserve">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</si>
</sst>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2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applyFill="1" applyBorder="1" applyAlignment="1"/>
    <xf numFmtId="0" fontId="0" fillId="0" borderId="2" xfId="0" applyFill="1" applyBorder="1" applyAlignment="1"/>
    <xf numFmtId="0" fontId="4" fillId="0" borderId="3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Continuous"/>
    </xf>
    <xf numFmtId="0" fontId="5" fillId="0" borderId="0" xfId="0" applyFont="1"/>
    <xf numFmtId="0" fontId="0" fillId="0" borderId="0" xfId="0" applyAlignment="1">
      <alignment horizontal="left" vertical="center" indent="10"/>
    </xf>
    <xf numFmtId="0" fontId="6" fillId="0" borderId="0" xfId="0" applyFont="1"/>
  </cellXfs>
  <cellStyles count="1">
    <cellStyle name="Normal" xfId="0" builtinId="0"/>
  </cellStyles>
  <dxfs count="3">
    <dxf>
      <numFmt numFmtId="2" formatCode="0.00"/>
    </dxf>
    <dxf>
      <numFmt numFmtId="2" formatCode="0.00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557913956407626E-2"/>
          <c:y val="1.9021713194941541E-2"/>
          <c:w val="0.90719864364780489"/>
          <c:h val="0.71065834952449125"/>
        </c:manualLayout>
      </c:layout>
      <c:lineChart>
        <c:grouping val="standard"/>
        <c:varyColors val="0"/>
        <c:ser>
          <c:idx val="0"/>
          <c:order val="0"/>
          <c:tx>
            <c:strRef>
              <c:f>fORCAST!$B$1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fORCAST!$B$2:$B$61</c:f>
              <c:numCache>
                <c:formatCode>General</c:formatCode>
                <c:ptCount val="60"/>
                <c:pt idx="0">
                  <c:v>59004</c:v>
                </c:pt>
                <c:pt idx="1">
                  <c:v>65511</c:v>
                </c:pt>
                <c:pt idx="2">
                  <c:v>72638</c:v>
                </c:pt>
                <c:pt idx="3">
                  <c:v>92649</c:v>
                </c:pt>
                <c:pt idx="4">
                  <c:v>108440</c:v>
                </c:pt>
                <c:pt idx="5">
                  <c:v>95683</c:v>
                </c:pt>
                <c:pt idx="6">
                  <c:v>107273</c:v>
                </c:pt>
                <c:pt idx="7">
                  <c:v>94197</c:v>
                </c:pt>
                <c:pt idx="8">
                  <c:v>94540</c:v>
                </c:pt>
                <c:pt idx="9">
                  <c:v>100927</c:v>
                </c:pt>
                <c:pt idx="10">
                  <c:v>97272</c:v>
                </c:pt>
                <c:pt idx="11">
                  <c:v>96124</c:v>
                </c:pt>
                <c:pt idx="12">
                  <c:v>101547</c:v>
                </c:pt>
                <c:pt idx="13">
                  <c:v>108085</c:v>
                </c:pt>
                <c:pt idx="14">
                  <c:v>120677</c:v>
                </c:pt>
                <c:pt idx="15">
                  <c:v>129425</c:v>
                </c:pt>
                <c:pt idx="16">
                  <c:v>138172</c:v>
                </c:pt>
                <c:pt idx="17">
                  <c:v>145707</c:v>
                </c:pt>
                <c:pt idx="18">
                  <c:v>155509</c:v>
                </c:pt>
                <c:pt idx="19">
                  <c:v>148719</c:v>
                </c:pt>
                <c:pt idx="20">
                  <c:v>131715</c:v>
                </c:pt>
                <c:pt idx="21">
                  <c:v>138518</c:v>
                </c:pt>
                <c:pt idx="22">
                  <c:v>134089</c:v>
                </c:pt>
                <c:pt idx="23">
                  <c:v>142733</c:v>
                </c:pt>
                <c:pt idx="24">
                  <c:v>141045</c:v>
                </c:pt>
                <c:pt idx="25">
                  <c:v>156271</c:v>
                </c:pt>
                <c:pt idx="26">
                  <c:v>162793</c:v>
                </c:pt>
                <c:pt idx="27">
                  <c:v>177653</c:v>
                </c:pt>
                <c:pt idx="28">
                  <c:v>175886</c:v>
                </c:pt>
                <c:pt idx="29">
                  <c:v>185497</c:v>
                </c:pt>
                <c:pt idx="30">
                  <c:v>185825</c:v>
                </c:pt>
                <c:pt idx="31">
                  <c:v>186097</c:v>
                </c:pt>
                <c:pt idx="32">
                  <c:v>192275</c:v>
                </c:pt>
                <c:pt idx="33">
                  <c:v>182300</c:v>
                </c:pt>
                <c:pt idx="34">
                  <c:v>177568</c:v>
                </c:pt>
                <c:pt idx="35">
                  <c:v>188789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58-4980-A860-0B91E77CD35D}"/>
            </c:ext>
          </c:extLst>
        </c:ser>
        <c:ser>
          <c:idx val="1"/>
          <c:order val="1"/>
          <c:tx>
            <c:strRef>
              <c:f>fORCAST!$C$1</c:f>
              <c:strCache>
                <c:ptCount val="1"/>
                <c:pt idx="0">
                  <c:v>Forecast(Sales)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fORCAST!$A$2:$A$61</c:f>
              <c:numCache>
                <c:formatCode>m/d/yyyy</c:formatCode>
                <c:ptCount val="6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  <c:pt idx="48">
                  <c:v>46388</c:v>
                </c:pt>
                <c:pt idx="49">
                  <c:v>46419</c:v>
                </c:pt>
                <c:pt idx="50">
                  <c:v>46447</c:v>
                </c:pt>
                <c:pt idx="51">
                  <c:v>46478</c:v>
                </c:pt>
                <c:pt idx="52">
                  <c:v>46508</c:v>
                </c:pt>
                <c:pt idx="53">
                  <c:v>46539</c:v>
                </c:pt>
                <c:pt idx="54">
                  <c:v>46569</c:v>
                </c:pt>
                <c:pt idx="55">
                  <c:v>46600</c:v>
                </c:pt>
                <c:pt idx="56">
                  <c:v>46631</c:v>
                </c:pt>
                <c:pt idx="57">
                  <c:v>46661</c:v>
                </c:pt>
                <c:pt idx="58">
                  <c:v>46692</c:v>
                </c:pt>
                <c:pt idx="59">
                  <c:v>46722</c:v>
                </c:pt>
              </c:numCache>
            </c:numRef>
          </c:cat>
          <c:val>
            <c:numRef>
              <c:f>fORCAST!$C$2:$C$61</c:f>
              <c:numCache>
                <c:formatCode>General</c:formatCode>
                <c:ptCount val="60"/>
                <c:pt idx="35">
                  <c:v>188789</c:v>
                </c:pt>
                <c:pt idx="36">
                  <c:v>188193.78065738326</c:v>
                </c:pt>
                <c:pt idx="37">
                  <c:v>195669.67840047</c:v>
                </c:pt>
                <c:pt idx="38">
                  <c:v>206669.08549196148</c:v>
                </c:pt>
                <c:pt idx="39">
                  <c:v>217407.36648253512</c:v>
                </c:pt>
                <c:pt idx="40">
                  <c:v>225688.75304300789</c:v>
                </c:pt>
                <c:pt idx="41">
                  <c:v>228960.02019413098</c:v>
                </c:pt>
                <c:pt idx="42">
                  <c:v>238421.11048920837</c:v>
                </c:pt>
                <c:pt idx="43">
                  <c:v>229762.75336758839</c:v>
                </c:pt>
                <c:pt idx="44">
                  <c:v>223165.14696375551</c:v>
                </c:pt>
                <c:pt idx="45">
                  <c:v>227639.5250080722</c:v>
                </c:pt>
                <c:pt idx="46">
                  <c:v>223604.98594405479</c:v>
                </c:pt>
                <c:pt idx="47">
                  <c:v>227378.43169882643</c:v>
                </c:pt>
                <c:pt idx="48">
                  <c:v>231493.95438779035</c:v>
                </c:pt>
                <c:pt idx="49">
                  <c:v>238969.85213087706</c:v>
                </c:pt>
                <c:pt idx="50">
                  <c:v>249969.25922236856</c:v>
                </c:pt>
                <c:pt idx="51">
                  <c:v>260707.54021294217</c:v>
                </c:pt>
                <c:pt idx="52">
                  <c:v>268988.92677341495</c:v>
                </c:pt>
                <c:pt idx="53">
                  <c:v>272260.19392453803</c:v>
                </c:pt>
                <c:pt idx="54">
                  <c:v>281721.28421961539</c:v>
                </c:pt>
                <c:pt idx="55">
                  <c:v>273062.92709799542</c:v>
                </c:pt>
                <c:pt idx="56">
                  <c:v>266465.32069416263</c:v>
                </c:pt>
                <c:pt idx="57">
                  <c:v>270939.69873847929</c:v>
                </c:pt>
                <c:pt idx="58">
                  <c:v>266905.15967446181</c:v>
                </c:pt>
                <c:pt idx="59">
                  <c:v>270678.60542923352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58-4980-A860-0B91E77CD35D}"/>
            </c:ext>
          </c:extLst>
        </c:ser>
        <c:ser>
          <c:idx val="2"/>
          <c:order val="2"/>
          <c:tx>
            <c:strRef>
              <c:f>fORCAST!$D$1</c:f>
              <c:strCache>
                <c:ptCount val="1"/>
                <c:pt idx="0">
                  <c:v>Lower Confidence Bound(Sales)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fORCAST!$A$2:$A$61</c:f>
              <c:numCache>
                <c:formatCode>m/d/yyyy</c:formatCode>
                <c:ptCount val="6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  <c:pt idx="48">
                  <c:v>46388</c:v>
                </c:pt>
                <c:pt idx="49">
                  <c:v>46419</c:v>
                </c:pt>
                <c:pt idx="50">
                  <c:v>46447</c:v>
                </c:pt>
                <c:pt idx="51">
                  <c:v>46478</c:v>
                </c:pt>
                <c:pt idx="52">
                  <c:v>46508</c:v>
                </c:pt>
                <c:pt idx="53">
                  <c:v>46539</c:v>
                </c:pt>
                <c:pt idx="54">
                  <c:v>46569</c:v>
                </c:pt>
                <c:pt idx="55">
                  <c:v>46600</c:v>
                </c:pt>
                <c:pt idx="56">
                  <c:v>46631</c:v>
                </c:pt>
                <c:pt idx="57">
                  <c:v>46661</c:v>
                </c:pt>
                <c:pt idx="58">
                  <c:v>46692</c:v>
                </c:pt>
                <c:pt idx="59">
                  <c:v>46722</c:v>
                </c:pt>
              </c:numCache>
            </c:numRef>
          </c:cat>
          <c:val>
            <c:numRef>
              <c:f>fORCAST!$D$2:$D$61</c:f>
              <c:numCache>
                <c:formatCode>General</c:formatCode>
                <c:ptCount val="60"/>
                <c:pt idx="35" formatCode="0.00">
                  <c:v>188789</c:v>
                </c:pt>
                <c:pt idx="36" formatCode="0.00">
                  <c:v>178414.55519148894</c:v>
                </c:pt>
                <c:pt idx="37" formatCode="0.00">
                  <c:v>185890.40892816009</c:v>
                </c:pt>
                <c:pt idx="38" formatCode="0.00">
                  <c:v>196889.73778651282</c:v>
                </c:pt>
                <c:pt idx="39" formatCode="0.00">
                  <c:v>207627.89653906005</c:v>
                </c:pt>
                <c:pt idx="40" formatCode="0.00">
                  <c:v>215909.10707945903</c:v>
                </c:pt>
                <c:pt idx="41" formatCode="0.00">
                  <c:v>219180.13465279448</c:v>
                </c:pt>
                <c:pt idx="42" formatCode="0.00">
                  <c:v>228640.91203878375</c:v>
                </c:pt>
                <c:pt idx="43" formatCode="0.00">
                  <c:v>219982.15890595183</c:v>
                </c:pt>
                <c:pt idx="44" formatCode="0.00">
                  <c:v>213384.06362150414</c:v>
                </c:pt>
                <c:pt idx="45" formatCode="0.00">
                  <c:v>217857.85015294625</c:v>
                </c:pt>
                <c:pt idx="46" formatCode="0.00">
                  <c:v>213822.60718633403</c:v>
                </c:pt>
                <c:pt idx="47" formatCode="0.00">
                  <c:v>217595.22689779746</c:v>
                </c:pt>
                <c:pt idx="48" formatCode="0.00">
                  <c:v>221616.76722666505</c:v>
                </c:pt>
                <c:pt idx="49" formatCode="0.00">
                  <c:v>229091.57577832908</c:v>
                </c:pt>
                <c:pt idx="50" formatCode="0.00">
                  <c:v>240089.74375806106</c:v>
                </c:pt>
                <c:pt idx="51" formatCode="0.00">
                  <c:v>250826.62609435237</c:v>
                </c:pt>
                <c:pt idx="52" formatCode="0.00">
                  <c:v>259106.44484870706</c:v>
                </c:pt>
                <c:pt idx="53" formatCode="0.00">
                  <c:v>262375.96544702468</c:v>
                </c:pt>
                <c:pt idx="54" formatCode="0.00">
                  <c:v>271835.12086389592</c:v>
                </c:pt>
                <c:pt idx="55" formatCode="0.00">
                  <c:v>263174.63097785745</c:v>
                </c:pt>
                <c:pt idx="56" formatCode="0.00">
                  <c:v>256574.68438233313</c:v>
                </c:pt>
                <c:pt idx="57" formatCode="0.00">
                  <c:v>261046.50528830825</c:v>
                </c:pt>
                <c:pt idx="58" formatCode="0.00">
                  <c:v>257009.18264362158</c:v>
                </c:pt>
                <c:pt idx="59" formatCode="0.00">
                  <c:v>260779.60890551389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58-4980-A860-0B91E77CD35D}"/>
            </c:ext>
          </c:extLst>
        </c:ser>
        <c:ser>
          <c:idx val="3"/>
          <c:order val="3"/>
          <c:tx>
            <c:strRef>
              <c:f>fORCAST!$E$1</c:f>
              <c:strCache>
                <c:ptCount val="1"/>
                <c:pt idx="0">
                  <c:v>Upper Confidence Bound(Sales)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fORCAST!$A$2:$A$61</c:f>
              <c:numCache>
                <c:formatCode>m/d/yyyy</c:formatCode>
                <c:ptCount val="6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  <c:pt idx="48">
                  <c:v>46388</c:v>
                </c:pt>
                <c:pt idx="49">
                  <c:v>46419</c:v>
                </c:pt>
                <c:pt idx="50">
                  <c:v>46447</c:v>
                </c:pt>
                <c:pt idx="51">
                  <c:v>46478</c:v>
                </c:pt>
                <c:pt idx="52">
                  <c:v>46508</c:v>
                </c:pt>
                <c:pt idx="53">
                  <c:v>46539</c:v>
                </c:pt>
                <c:pt idx="54">
                  <c:v>46569</c:v>
                </c:pt>
                <c:pt idx="55">
                  <c:v>46600</c:v>
                </c:pt>
                <c:pt idx="56">
                  <c:v>46631</c:v>
                </c:pt>
                <c:pt idx="57">
                  <c:v>46661</c:v>
                </c:pt>
                <c:pt idx="58">
                  <c:v>46692</c:v>
                </c:pt>
                <c:pt idx="59">
                  <c:v>46722</c:v>
                </c:pt>
              </c:numCache>
            </c:numRef>
          </c:cat>
          <c:val>
            <c:numRef>
              <c:f>fORCAST!$E$2:$E$61</c:f>
              <c:numCache>
                <c:formatCode>General</c:formatCode>
                <c:ptCount val="60"/>
                <c:pt idx="35" formatCode="0.00">
                  <c:v>188789</c:v>
                </c:pt>
                <c:pt idx="36" formatCode="0.00">
                  <c:v>197973.00612327759</c:v>
                </c:pt>
                <c:pt idx="37" formatCode="0.00">
                  <c:v>205448.94787277991</c:v>
                </c:pt>
                <c:pt idx="38" formatCode="0.00">
                  <c:v>216448.43319741014</c:v>
                </c:pt>
                <c:pt idx="39" formatCode="0.00">
                  <c:v>227186.83642601018</c:v>
                </c:pt>
                <c:pt idx="40" formatCode="0.00">
                  <c:v>235468.39900655675</c:v>
                </c:pt>
                <c:pt idx="41" formatCode="0.00">
                  <c:v>238739.90573546747</c:v>
                </c:pt>
                <c:pt idx="42" formatCode="0.00">
                  <c:v>248201.30893963299</c:v>
                </c:pt>
                <c:pt idx="43" formatCode="0.00">
                  <c:v>239543.34782922495</c:v>
                </c:pt>
                <c:pt idx="44" formatCode="0.00">
                  <c:v>232946.23030600688</c:v>
                </c:pt>
                <c:pt idx="45" formatCode="0.00">
                  <c:v>237421.19986319816</c:v>
                </c:pt>
                <c:pt idx="46" formatCode="0.00">
                  <c:v>233387.36470177554</c:v>
                </c:pt>
                <c:pt idx="47" formatCode="0.00">
                  <c:v>237161.63649985541</c:v>
                </c:pt>
                <c:pt idx="48" formatCode="0.00">
                  <c:v>241371.14154891565</c:v>
                </c:pt>
                <c:pt idx="49" formatCode="0.00">
                  <c:v>248848.12848342504</c:v>
                </c:pt>
                <c:pt idx="50" formatCode="0.00">
                  <c:v>259848.77468667607</c:v>
                </c:pt>
                <c:pt idx="51" formatCode="0.00">
                  <c:v>270588.454331532</c:v>
                </c:pt>
                <c:pt idx="52" formatCode="0.00">
                  <c:v>278871.40869812283</c:v>
                </c:pt>
                <c:pt idx="53" formatCode="0.00">
                  <c:v>282144.42240205139</c:v>
                </c:pt>
                <c:pt idx="54" formatCode="0.00">
                  <c:v>291607.44757533487</c:v>
                </c:pt>
                <c:pt idx="55" formatCode="0.00">
                  <c:v>282951.22321813338</c:v>
                </c:pt>
                <c:pt idx="56" formatCode="0.00">
                  <c:v>276355.95700599212</c:v>
                </c:pt>
                <c:pt idx="57" formatCode="0.00">
                  <c:v>280832.89218865032</c:v>
                </c:pt>
                <c:pt idx="58" formatCode="0.00">
                  <c:v>276801.13670530205</c:v>
                </c:pt>
                <c:pt idx="59" formatCode="0.00">
                  <c:v>280577.60195295315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858-4980-A860-0B91E77CD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1878448"/>
        <c:axId val="1567357152"/>
      </c:lineChart>
      <c:catAx>
        <c:axId val="168187844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357152"/>
        <c:crosses val="autoZero"/>
        <c:auto val="1"/>
        <c:lblAlgn val="ctr"/>
        <c:lblOffset val="100"/>
        <c:noMultiLvlLbl val="0"/>
      </c:catAx>
      <c:valAx>
        <c:axId val="156735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87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251460</xdr:colOff>
      <xdr:row>5</xdr:row>
      <xdr:rowOff>148590</xdr:rowOff>
    </xdr:from>
    <xdr:to>
      <xdr:col>16</xdr:col>
      <xdr:colOff>268605</xdr:colOff>
      <xdr:row>25</xdr:row>
      <xdr:rowOff>158115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2B0B1B-CF57-272D-9E68-83882810CB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FD1C69-ABC9-48D5-B682-3A46594A7494}" name="Table1" displayName="Table1" ref="A1:E61" totalsRowShown="0">
  <autoFilter ref="A1:E61" xr:uid="{A6FD1C69-ABC9-48D5-B682-3A46594A7494}"/>
  <tableColumns count="5">
    <tableColumn id="1" xr3:uid="{EACC9397-4480-46B3-926F-FF858FA6A299}" name="Date" dataDxfId="2"/>
    <tableColumn id="2" xr3:uid="{DB7EA89C-FA13-41EA-AE96-8DCFE54968FC}" name="Sales"/>
    <tableColumn id="3" xr3:uid="{E93B32A8-8CA3-46D8-A616-8E89BD6EC9F7}" name="Forecast(Sales)">
      <calculatedColumnFormula>_xlfn.FORECAST.ETS(A2,$B$2:$B$37,$A$2:$A$37,1,1)</calculatedColumnFormula>
    </tableColumn>
    <tableColumn id="4" xr3:uid="{A309B3C8-6F6F-4E62-A870-E84DB466D679}" name="Lower Confidence Bound(Sales)" dataDxfId="1">
      <calculatedColumnFormula>C2-_xlfn.FORECAST.ETS.CONFINT(A2,$B$2:$B$37,$A$2:$A$37,0.95,1,1)</calculatedColumnFormula>
    </tableColumn>
    <tableColumn id="5" xr3:uid="{74BC66CF-E2F4-407D-B8C6-B5181288B204}" name="Upper Confidence Bound(Sales)" dataDxfId="0">
      <calculatedColumnFormula>C2+_xlfn.FORECAST.ETS.CONFINT(A2,$B$2:$B$37,$A$2:$A$37,0.95,1,1)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E7859-E011-4A1D-803F-D8694BEBCB80}">
  <dimension ref="A1:E61"/>
  <sheetViews>
    <sheetView workbookViewId="0"/>
  </sheetViews>
  <sheetFormatPr defaultRowHeight="14.4" x14ac:dyDescent="0.3"/>
  <cols>
    <col min="1" max="1" width="10.33203125" bestFit="1" customWidth="1"/>
    <col min="2" max="2" width="9" bestFit="1" customWidth="1"/>
    <col min="3" max="3" width="15.44140625" customWidth="1"/>
    <col min="4" max="4" width="29.5546875" customWidth="1"/>
    <col min="5" max="5" width="29.6640625" customWidth="1"/>
  </cols>
  <sheetData>
    <row r="1" spans="1:5" x14ac:dyDescent="0.3">
      <c r="A1" t="s">
        <v>0</v>
      </c>
      <c r="B1" t="s">
        <v>7</v>
      </c>
      <c r="C1" t="s">
        <v>8</v>
      </c>
      <c r="D1" t="s">
        <v>9</v>
      </c>
      <c r="E1" t="s">
        <v>10</v>
      </c>
    </row>
    <row r="2" spans="1:5" x14ac:dyDescent="0.3">
      <c r="A2" s="3">
        <v>44927</v>
      </c>
      <c r="B2">
        <v>59004</v>
      </c>
    </row>
    <row r="3" spans="1:5" x14ac:dyDescent="0.3">
      <c r="A3" s="3">
        <v>44958</v>
      </c>
      <c r="B3">
        <v>65511</v>
      </c>
    </row>
    <row r="4" spans="1:5" x14ac:dyDescent="0.3">
      <c r="A4" s="3">
        <v>44986</v>
      </c>
      <c r="B4">
        <v>72638</v>
      </c>
    </row>
    <row r="5" spans="1:5" x14ac:dyDescent="0.3">
      <c r="A5" s="3">
        <v>45017</v>
      </c>
      <c r="B5">
        <v>92649</v>
      </c>
    </row>
    <row r="6" spans="1:5" x14ac:dyDescent="0.3">
      <c r="A6" s="3">
        <v>45047</v>
      </c>
      <c r="B6">
        <v>108440</v>
      </c>
    </row>
    <row r="7" spans="1:5" x14ac:dyDescent="0.3">
      <c r="A7" s="3">
        <v>45078</v>
      </c>
      <c r="B7">
        <v>95683</v>
      </c>
    </row>
    <row r="8" spans="1:5" x14ac:dyDescent="0.3">
      <c r="A8" s="3">
        <v>45108</v>
      </c>
      <c r="B8">
        <v>107273</v>
      </c>
    </row>
    <row r="9" spans="1:5" x14ac:dyDescent="0.3">
      <c r="A9" s="3">
        <v>45139</v>
      </c>
      <c r="B9">
        <v>94197</v>
      </c>
    </row>
    <row r="10" spans="1:5" x14ac:dyDescent="0.3">
      <c r="A10" s="3">
        <v>45170</v>
      </c>
      <c r="B10">
        <v>94540</v>
      </c>
    </row>
    <row r="11" spans="1:5" x14ac:dyDescent="0.3">
      <c r="A11" s="3">
        <v>45200</v>
      </c>
      <c r="B11">
        <v>100927</v>
      </c>
    </row>
    <row r="12" spans="1:5" x14ac:dyDescent="0.3">
      <c r="A12" s="3">
        <v>45231</v>
      </c>
      <c r="B12">
        <v>97272</v>
      </c>
    </row>
    <row r="13" spans="1:5" x14ac:dyDescent="0.3">
      <c r="A13" s="3">
        <v>45261</v>
      </c>
      <c r="B13">
        <v>96124</v>
      </c>
    </row>
    <row r="14" spans="1:5" x14ac:dyDescent="0.3">
      <c r="A14" s="3">
        <v>45292</v>
      </c>
      <c r="B14">
        <v>101547</v>
      </c>
    </row>
    <row r="15" spans="1:5" x14ac:dyDescent="0.3">
      <c r="A15" s="3">
        <v>45323</v>
      </c>
      <c r="B15">
        <v>108085</v>
      </c>
    </row>
    <row r="16" spans="1:5" x14ac:dyDescent="0.3">
      <c r="A16" s="3">
        <v>45352</v>
      </c>
      <c r="B16">
        <v>120677</v>
      </c>
    </row>
    <row r="17" spans="1:2" x14ac:dyDescent="0.3">
      <c r="A17" s="3">
        <v>45383</v>
      </c>
      <c r="B17">
        <v>129425</v>
      </c>
    </row>
    <row r="18" spans="1:2" x14ac:dyDescent="0.3">
      <c r="A18" s="3">
        <v>45413</v>
      </c>
      <c r="B18">
        <v>138172</v>
      </c>
    </row>
    <row r="19" spans="1:2" x14ac:dyDescent="0.3">
      <c r="A19" s="3">
        <v>45444</v>
      </c>
      <c r="B19">
        <v>145707</v>
      </c>
    </row>
    <row r="20" spans="1:2" x14ac:dyDescent="0.3">
      <c r="A20" s="3">
        <v>45474</v>
      </c>
      <c r="B20">
        <v>155509</v>
      </c>
    </row>
    <row r="21" spans="1:2" x14ac:dyDescent="0.3">
      <c r="A21" s="3">
        <v>45505</v>
      </c>
      <c r="B21">
        <v>148719</v>
      </c>
    </row>
    <row r="22" spans="1:2" x14ac:dyDescent="0.3">
      <c r="A22" s="3">
        <v>45536</v>
      </c>
      <c r="B22">
        <v>131715</v>
      </c>
    </row>
    <row r="23" spans="1:2" x14ac:dyDescent="0.3">
      <c r="A23" s="3">
        <v>45566</v>
      </c>
      <c r="B23">
        <v>138518</v>
      </c>
    </row>
    <row r="24" spans="1:2" x14ac:dyDescent="0.3">
      <c r="A24" s="3">
        <v>45597</v>
      </c>
      <c r="B24">
        <v>134089</v>
      </c>
    </row>
    <row r="25" spans="1:2" x14ac:dyDescent="0.3">
      <c r="A25" s="3">
        <v>45627</v>
      </c>
      <c r="B25">
        <v>142733</v>
      </c>
    </row>
    <row r="26" spans="1:2" x14ac:dyDescent="0.3">
      <c r="A26" s="3">
        <v>45658</v>
      </c>
      <c r="B26">
        <v>141045</v>
      </c>
    </row>
    <row r="27" spans="1:2" x14ac:dyDescent="0.3">
      <c r="A27" s="3">
        <v>45689</v>
      </c>
      <c r="B27">
        <v>156271</v>
      </c>
    </row>
    <row r="28" spans="1:2" x14ac:dyDescent="0.3">
      <c r="A28" s="3">
        <v>45717</v>
      </c>
      <c r="B28">
        <v>162793</v>
      </c>
    </row>
    <row r="29" spans="1:2" x14ac:dyDescent="0.3">
      <c r="A29" s="3">
        <v>45748</v>
      </c>
      <c r="B29">
        <v>177653</v>
      </c>
    </row>
    <row r="30" spans="1:2" x14ac:dyDescent="0.3">
      <c r="A30" s="3">
        <v>45778</v>
      </c>
      <c r="B30">
        <v>175886</v>
      </c>
    </row>
    <row r="31" spans="1:2" x14ac:dyDescent="0.3">
      <c r="A31" s="3">
        <v>45809</v>
      </c>
      <c r="B31">
        <v>185497</v>
      </c>
    </row>
    <row r="32" spans="1:2" x14ac:dyDescent="0.3">
      <c r="A32" s="3">
        <v>45839</v>
      </c>
      <c r="B32">
        <v>185825</v>
      </c>
    </row>
    <row r="33" spans="1:5" x14ac:dyDescent="0.3">
      <c r="A33" s="3">
        <v>45870</v>
      </c>
      <c r="B33">
        <v>186097</v>
      </c>
    </row>
    <row r="34" spans="1:5" x14ac:dyDescent="0.3">
      <c r="A34" s="3">
        <v>45901</v>
      </c>
      <c r="B34">
        <v>192275</v>
      </c>
    </row>
    <row r="35" spans="1:5" x14ac:dyDescent="0.3">
      <c r="A35" s="3">
        <v>45931</v>
      </c>
      <c r="B35">
        <v>182300</v>
      </c>
    </row>
    <row r="36" spans="1:5" x14ac:dyDescent="0.3">
      <c r="A36" s="3">
        <v>45962</v>
      </c>
      <c r="B36">
        <v>177568</v>
      </c>
    </row>
    <row r="37" spans="1:5" x14ac:dyDescent="0.3">
      <c r="A37" s="3">
        <v>45992</v>
      </c>
      <c r="B37">
        <v>188789</v>
      </c>
      <c r="C37">
        <v>188789</v>
      </c>
      <c r="D37" s="4">
        <v>188789</v>
      </c>
      <c r="E37" s="4">
        <v>188789</v>
      </c>
    </row>
    <row r="38" spans="1:5" x14ac:dyDescent="0.3">
      <c r="A38" s="3">
        <v>46023</v>
      </c>
      <c r="C38">
        <f>_xlfn.FORECAST.ETS(A38,$B$2:$B$37,$A$2:$A$37,1,1)</f>
        <v>188193.78065738326</v>
      </c>
      <c r="D38" s="4">
        <f>C38-_xlfn.FORECAST.ETS.CONFINT(A38,$B$2:$B$37,$A$2:$A$37,0.95,1,1)</f>
        <v>178414.55519148894</v>
      </c>
      <c r="E38" s="4">
        <f>C38+_xlfn.FORECAST.ETS.CONFINT(A38,$B$2:$B$37,$A$2:$A$37,0.95,1,1)</f>
        <v>197973.00612327759</v>
      </c>
    </row>
    <row r="39" spans="1:5" x14ac:dyDescent="0.3">
      <c r="A39" s="3">
        <v>46054</v>
      </c>
      <c r="C39">
        <f>_xlfn.FORECAST.ETS(A39,$B$2:$B$37,$A$2:$A$37,1,1)</f>
        <v>195669.67840047</v>
      </c>
      <c r="D39" s="4">
        <f>C39-_xlfn.FORECAST.ETS.CONFINT(A39,$B$2:$B$37,$A$2:$A$37,0.95,1,1)</f>
        <v>185890.40892816009</v>
      </c>
      <c r="E39" s="4">
        <f>C39+_xlfn.FORECAST.ETS.CONFINT(A39,$B$2:$B$37,$A$2:$A$37,0.95,1,1)</f>
        <v>205448.94787277991</v>
      </c>
    </row>
    <row r="40" spans="1:5" x14ac:dyDescent="0.3">
      <c r="A40" s="3">
        <v>46082</v>
      </c>
      <c r="C40">
        <f>_xlfn.FORECAST.ETS(A40,$B$2:$B$37,$A$2:$A$37,1,1)</f>
        <v>206669.08549196148</v>
      </c>
      <c r="D40" s="4">
        <f>C40-_xlfn.FORECAST.ETS.CONFINT(A40,$B$2:$B$37,$A$2:$A$37,0.95,1,1)</f>
        <v>196889.73778651282</v>
      </c>
      <c r="E40" s="4">
        <f>C40+_xlfn.FORECAST.ETS.CONFINT(A40,$B$2:$B$37,$A$2:$A$37,0.95,1,1)</f>
        <v>216448.43319741014</v>
      </c>
    </row>
    <row r="41" spans="1:5" x14ac:dyDescent="0.3">
      <c r="A41" s="3">
        <v>46113</v>
      </c>
      <c r="C41">
        <f>_xlfn.FORECAST.ETS(A41,$B$2:$B$37,$A$2:$A$37,1,1)</f>
        <v>217407.36648253512</v>
      </c>
      <c r="D41" s="4">
        <f>C41-_xlfn.FORECAST.ETS.CONFINT(A41,$B$2:$B$37,$A$2:$A$37,0.95,1,1)</f>
        <v>207627.89653906005</v>
      </c>
      <c r="E41" s="4">
        <f>C41+_xlfn.FORECAST.ETS.CONFINT(A41,$B$2:$B$37,$A$2:$A$37,0.95,1,1)</f>
        <v>227186.83642601018</v>
      </c>
    </row>
    <row r="42" spans="1:5" x14ac:dyDescent="0.3">
      <c r="A42" s="3">
        <v>46143</v>
      </c>
      <c r="C42">
        <f>_xlfn.FORECAST.ETS(A42,$B$2:$B$37,$A$2:$A$37,1,1)</f>
        <v>225688.75304300789</v>
      </c>
      <c r="D42" s="4">
        <f>C42-_xlfn.FORECAST.ETS.CONFINT(A42,$B$2:$B$37,$A$2:$A$37,0.95,1,1)</f>
        <v>215909.10707945903</v>
      </c>
      <c r="E42" s="4">
        <f>C42+_xlfn.FORECAST.ETS.CONFINT(A42,$B$2:$B$37,$A$2:$A$37,0.95,1,1)</f>
        <v>235468.39900655675</v>
      </c>
    </row>
    <row r="43" spans="1:5" x14ac:dyDescent="0.3">
      <c r="A43" s="3">
        <v>46174</v>
      </c>
      <c r="C43">
        <f>_xlfn.FORECAST.ETS(A43,$B$2:$B$37,$A$2:$A$37,1,1)</f>
        <v>228960.02019413098</v>
      </c>
      <c r="D43" s="4">
        <f>C43-_xlfn.FORECAST.ETS.CONFINT(A43,$B$2:$B$37,$A$2:$A$37,0.95,1,1)</f>
        <v>219180.13465279448</v>
      </c>
      <c r="E43" s="4">
        <f>C43+_xlfn.FORECAST.ETS.CONFINT(A43,$B$2:$B$37,$A$2:$A$37,0.95,1,1)</f>
        <v>238739.90573546747</v>
      </c>
    </row>
    <row r="44" spans="1:5" x14ac:dyDescent="0.3">
      <c r="A44" s="3">
        <v>46204</v>
      </c>
      <c r="C44">
        <f>_xlfn.FORECAST.ETS(A44,$B$2:$B$37,$A$2:$A$37,1,1)</f>
        <v>238421.11048920837</v>
      </c>
      <c r="D44" s="4">
        <f>C44-_xlfn.FORECAST.ETS.CONFINT(A44,$B$2:$B$37,$A$2:$A$37,0.95,1,1)</f>
        <v>228640.91203878375</v>
      </c>
      <c r="E44" s="4">
        <f>C44+_xlfn.FORECAST.ETS.CONFINT(A44,$B$2:$B$37,$A$2:$A$37,0.95,1,1)</f>
        <v>248201.30893963299</v>
      </c>
    </row>
    <row r="45" spans="1:5" x14ac:dyDescent="0.3">
      <c r="A45" s="3">
        <v>46235</v>
      </c>
      <c r="C45">
        <f>_xlfn.FORECAST.ETS(A45,$B$2:$B$37,$A$2:$A$37,1,1)</f>
        <v>229762.75336758839</v>
      </c>
      <c r="D45" s="4">
        <f>C45-_xlfn.FORECAST.ETS.CONFINT(A45,$B$2:$B$37,$A$2:$A$37,0.95,1,1)</f>
        <v>219982.15890595183</v>
      </c>
      <c r="E45" s="4">
        <f>C45+_xlfn.FORECAST.ETS.CONFINT(A45,$B$2:$B$37,$A$2:$A$37,0.95,1,1)</f>
        <v>239543.34782922495</v>
      </c>
    </row>
    <row r="46" spans="1:5" x14ac:dyDescent="0.3">
      <c r="A46" s="3">
        <v>46266</v>
      </c>
      <c r="C46">
        <f>_xlfn.FORECAST.ETS(A46,$B$2:$B$37,$A$2:$A$37,1,1)</f>
        <v>223165.14696375551</v>
      </c>
      <c r="D46" s="4">
        <f>C46-_xlfn.FORECAST.ETS.CONFINT(A46,$B$2:$B$37,$A$2:$A$37,0.95,1,1)</f>
        <v>213384.06362150414</v>
      </c>
      <c r="E46" s="4">
        <f>C46+_xlfn.FORECAST.ETS.CONFINT(A46,$B$2:$B$37,$A$2:$A$37,0.95,1,1)</f>
        <v>232946.23030600688</v>
      </c>
    </row>
    <row r="47" spans="1:5" x14ac:dyDescent="0.3">
      <c r="A47" s="3">
        <v>46296</v>
      </c>
      <c r="C47">
        <f>_xlfn.FORECAST.ETS(A47,$B$2:$B$37,$A$2:$A$37,1,1)</f>
        <v>227639.5250080722</v>
      </c>
      <c r="D47" s="4">
        <f>C47-_xlfn.FORECAST.ETS.CONFINT(A47,$B$2:$B$37,$A$2:$A$37,0.95,1,1)</f>
        <v>217857.85015294625</v>
      </c>
      <c r="E47" s="4">
        <f>C47+_xlfn.FORECAST.ETS.CONFINT(A47,$B$2:$B$37,$A$2:$A$37,0.95,1,1)</f>
        <v>237421.19986319816</v>
      </c>
    </row>
    <row r="48" spans="1:5" x14ac:dyDescent="0.3">
      <c r="A48" s="3">
        <v>46327</v>
      </c>
      <c r="C48">
        <f>_xlfn.FORECAST.ETS(A48,$B$2:$B$37,$A$2:$A$37,1,1)</f>
        <v>223604.98594405479</v>
      </c>
      <c r="D48" s="4">
        <f>C48-_xlfn.FORECAST.ETS.CONFINT(A48,$B$2:$B$37,$A$2:$A$37,0.95,1,1)</f>
        <v>213822.60718633403</v>
      </c>
      <c r="E48" s="4">
        <f>C48+_xlfn.FORECAST.ETS.CONFINT(A48,$B$2:$B$37,$A$2:$A$37,0.95,1,1)</f>
        <v>233387.36470177554</v>
      </c>
    </row>
    <row r="49" spans="1:5" x14ac:dyDescent="0.3">
      <c r="A49" s="3">
        <v>46357</v>
      </c>
      <c r="C49">
        <f>_xlfn.FORECAST.ETS(A49,$B$2:$B$37,$A$2:$A$37,1,1)</f>
        <v>227378.43169882643</v>
      </c>
      <c r="D49" s="4">
        <f>C49-_xlfn.FORECAST.ETS.CONFINT(A49,$B$2:$B$37,$A$2:$A$37,0.95,1,1)</f>
        <v>217595.22689779746</v>
      </c>
      <c r="E49" s="4">
        <f>C49+_xlfn.FORECAST.ETS.CONFINT(A49,$B$2:$B$37,$A$2:$A$37,0.95,1,1)</f>
        <v>237161.63649985541</v>
      </c>
    </row>
    <row r="50" spans="1:5" x14ac:dyDescent="0.3">
      <c r="A50" s="3">
        <v>46388</v>
      </c>
      <c r="C50">
        <f>_xlfn.FORECAST.ETS(A50,$B$2:$B$37,$A$2:$A$37,1,1)</f>
        <v>231493.95438779035</v>
      </c>
      <c r="D50" s="4">
        <f>C50-_xlfn.FORECAST.ETS.CONFINT(A50,$B$2:$B$37,$A$2:$A$37,0.95,1,1)</f>
        <v>221616.76722666505</v>
      </c>
      <c r="E50" s="4">
        <f>C50+_xlfn.FORECAST.ETS.CONFINT(A50,$B$2:$B$37,$A$2:$A$37,0.95,1,1)</f>
        <v>241371.14154891565</v>
      </c>
    </row>
    <row r="51" spans="1:5" x14ac:dyDescent="0.3">
      <c r="A51" s="3">
        <v>46419</v>
      </c>
      <c r="C51">
        <f>_xlfn.FORECAST.ETS(A51,$B$2:$B$37,$A$2:$A$37,1,1)</f>
        <v>238969.85213087706</v>
      </c>
      <c r="D51" s="4">
        <f>C51-_xlfn.FORECAST.ETS.CONFINT(A51,$B$2:$B$37,$A$2:$A$37,0.95,1,1)</f>
        <v>229091.57577832908</v>
      </c>
      <c r="E51" s="4">
        <f>C51+_xlfn.FORECAST.ETS.CONFINT(A51,$B$2:$B$37,$A$2:$A$37,0.95,1,1)</f>
        <v>248848.12848342504</v>
      </c>
    </row>
    <row r="52" spans="1:5" x14ac:dyDescent="0.3">
      <c r="A52" s="3">
        <v>46447</v>
      </c>
      <c r="C52">
        <f>_xlfn.FORECAST.ETS(A52,$B$2:$B$37,$A$2:$A$37,1,1)</f>
        <v>249969.25922236856</v>
      </c>
      <c r="D52" s="4">
        <f>C52-_xlfn.FORECAST.ETS.CONFINT(A52,$B$2:$B$37,$A$2:$A$37,0.95,1,1)</f>
        <v>240089.74375806106</v>
      </c>
      <c r="E52" s="4">
        <f>C52+_xlfn.FORECAST.ETS.CONFINT(A52,$B$2:$B$37,$A$2:$A$37,0.95,1,1)</f>
        <v>259848.77468667607</v>
      </c>
    </row>
    <row r="53" spans="1:5" x14ac:dyDescent="0.3">
      <c r="A53" s="3">
        <v>46478</v>
      </c>
      <c r="C53">
        <f>_xlfn.FORECAST.ETS(A53,$B$2:$B$37,$A$2:$A$37,1,1)</f>
        <v>260707.54021294217</v>
      </c>
      <c r="D53" s="4">
        <f>C53-_xlfn.FORECAST.ETS.CONFINT(A53,$B$2:$B$37,$A$2:$A$37,0.95,1,1)</f>
        <v>250826.62609435237</v>
      </c>
      <c r="E53" s="4">
        <f>C53+_xlfn.FORECAST.ETS.CONFINT(A53,$B$2:$B$37,$A$2:$A$37,0.95,1,1)</f>
        <v>270588.454331532</v>
      </c>
    </row>
    <row r="54" spans="1:5" x14ac:dyDescent="0.3">
      <c r="A54" s="3">
        <v>46508</v>
      </c>
      <c r="C54">
        <f>_xlfn.FORECAST.ETS(A54,$B$2:$B$37,$A$2:$A$37,1,1)</f>
        <v>268988.92677341495</v>
      </c>
      <c r="D54" s="4">
        <f>C54-_xlfn.FORECAST.ETS.CONFINT(A54,$B$2:$B$37,$A$2:$A$37,0.95,1,1)</f>
        <v>259106.44484870706</v>
      </c>
      <c r="E54" s="4">
        <f>C54+_xlfn.FORECAST.ETS.CONFINT(A54,$B$2:$B$37,$A$2:$A$37,0.95,1,1)</f>
        <v>278871.40869812283</v>
      </c>
    </row>
    <row r="55" spans="1:5" x14ac:dyDescent="0.3">
      <c r="A55" s="3">
        <v>46539</v>
      </c>
      <c r="C55">
        <f>_xlfn.FORECAST.ETS(A55,$B$2:$B$37,$A$2:$A$37,1,1)</f>
        <v>272260.19392453803</v>
      </c>
      <c r="D55" s="4">
        <f>C55-_xlfn.FORECAST.ETS.CONFINT(A55,$B$2:$B$37,$A$2:$A$37,0.95,1,1)</f>
        <v>262375.96544702468</v>
      </c>
      <c r="E55" s="4">
        <f>C55+_xlfn.FORECAST.ETS.CONFINT(A55,$B$2:$B$37,$A$2:$A$37,0.95,1,1)</f>
        <v>282144.42240205139</v>
      </c>
    </row>
    <row r="56" spans="1:5" x14ac:dyDescent="0.3">
      <c r="A56" s="3">
        <v>46569</v>
      </c>
      <c r="C56">
        <f>_xlfn.FORECAST.ETS(A56,$B$2:$B$37,$A$2:$A$37,1,1)</f>
        <v>281721.28421961539</v>
      </c>
      <c r="D56" s="4">
        <f>C56-_xlfn.FORECAST.ETS.CONFINT(A56,$B$2:$B$37,$A$2:$A$37,0.95,1,1)</f>
        <v>271835.12086389592</v>
      </c>
      <c r="E56" s="4">
        <f>C56+_xlfn.FORECAST.ETS.CONFINT(A56,$B$2:$B$37,$A$2:$A$37,0.95,1,1)</f>
        <v>291607.44757533487</v>
      </c>
    </row>
    <row r="57" spans="1:5" x14ac:dyDescent="0.3">
      <c r="A57" s="3">
        <v>46600</v>
      </c>
      <c r="C57">
        <f>_xlfn.FORECAST.ETS(A57,$B$2:$B$37,$A$2:$A$37,1,1)</f>
        <v>273062.92709799542</v>
      </c>
      <c r="D57" s="4">
        <f>C57-_xlfn.FORECAST.ETS.CONFINT(A57,$B$2:$B$37,$A$2:$A$37,0.95,1,1)</f>
        <v>263174.63097785745</v>
      </c>
      <c r="E57" s="4">
        <f>C57+_xlfn.FORECAST.ETS.CONFINT(A57,$B$2:$B$37,$A$2:$A$37,0.95,1,1)</f>
        <v>282951.22321813338</v>
      </c>
    </row>
    <row r="58" spans="1:5" x14ac:dyDescent="0.3">
      <c r="A58" s="3">
        <v>46631</v>
      </c>
      <c r="C58">
        <f>_xlfn.FORECAST.ETS(A58,$B$2:$B$37,$A$2:$A$37,1,1)</f>
        <v>266465.32069416263</v>
      </c>
      <c r="D58" s="4">
        <f>C58-_xlfn.FORECAST.ETS.CONFINT(A58,$B$2:$B$37,$A$2:$A$37,0.95,1,1)</f>
        <v>256574.68438233313</v>
      </c>
      <c r="E58" s="4">
        <f>C58+_xlfn.FORECAST.ETS.CONFINT(A58,$B$2:$B$37,$A$2:$A$37,0.95,1,1)</f>
        <v>276355.95700599212</v>
      </c>
    </row>
    <row r="59" spans="1:5" x14ac:dyDescent="0.3">
      <c r="A59" s="3">
        <v>46661</v>
      </c>
      <c r="C59">
        <f>_xlfn.FORECAST.ETS(A59,$B$2:$B$37,$A$2:$A$37,1,1)</f>
        <v>270939.69873847929</v>
      </c>
      <c r="D59" s="4">
        <f>C59-_xlfn.FORECAST.ETS.CONFINT(A59,$B$2:$B$37,$A$2:$A$37,0.95,1,1)</f>
        <v>261046.50528830825</v>
      </c>
      <c r="E59" s="4">
        <f>C59+_xlfn.FORECAST.ETS.CONFINT(A59,$B$2:$B$37,$A$2:$A$37,0.95,1,1)</f>
        <v>280832.89218865032</v>
      </c>
    </row>
    <row r="60" spans="1:5" x14ac:dyDescent="0.3">
      <c r="A60" s="3">
        <v>46692</v>
      </c>
      <c r="C60">
        <f>_xlfn.FORECAST.ETS(A60,$B$2:$B$37,$A$2:$A$37,1,1)</f>
        <v>266905.15967446181</v>
      </c>
      <c r="D60" s="4">
        <f>C60-_xlfn.FORECAST.ETS.CONFINT(A60,$B$2:$B$37,$A$2:$A$37,0.95,1,1)</f>
        <v>257009.18264362158</v>
      </c>
      <c r="E60" s="4">
        <f>C60+_xlfn.FORECAST.ETS.CONFINT(A60,$B$2:$B$37,$A$2:$A$37,0.95,1,1)</f>
        <v>276801.13670530205</v>
      </c>
    </row>
    <row r="61" spans="1:5" x14ac:dyDescent="0.3">
      <c r="A61" s="3">
        <v>46722</v>
      </c>
      <c r="C61">
        <f>_xlfn.FORECAST.ETS(A61,$B$2:$B$37,$A$2:$A$37,1,1)</f>
        <v>270678.60542923352</v>
      </c>
      <c r="D61" s="4">
        <f>C61-_xlfn.FORECAST.ETS.CONFINT(A61,$B$2:$B$37,$A$2:$A$37,0.95,1,1)</f>
        <v>260779.60890551389</v>
      </c>
      <c r="E61" s="4">
        <f>C61+_xlfn.FORECAST.ETS.CONFINT(A61,$B$2:$B$37,$A$2:$A$37,0.95,1,1)</f>
        <v>280577.60195295315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DB1A7-26F6-49A2-9FAE-ACED82174023}">
  <dimension ref="A1:I18"/>
  <sheetViews>
    <sheetView workbookViewId="0">
      <selection activeCell="H8" sqref="H8"/>
    </sheetView>
  </sheetViews>
  <sheetFormatPr defaultRowHeight="14.4" x14ac:dyDescent="0.3"/>
  <cols>
    <col min="1" max="1" width="12.44140625" customWidth="1"/>
    <col min="2" max="2" width="23.88671875" customWidth="1"/>
    <col min="3" max="3" width="16.109375" customWidth="1"/>
    <col min="4" max="4" width="15.21875" customWidth="1"/>
    <col min="5" max="5" width="20.6640625" customWidth="1"/>
    <col min="6" max="6" width="19.21875" customWidth="1"/>
    <col min="7" max="7" width="15.33203125" customWidth="1"/>
    <col min="8" max="8" width="15.44140625" customWidth="1"/>
    <col min="9" max="9" width="16.6640625" customWidth="1"/>
  </cols>
  <sheetData>
    <row r="1" spans="1:9" x14ac:dyDescent="0.3">
      <c r="A1" t="s">
        <v>19</v>
      </c>
    </row>
    <row r="2" spans="1:9" ht="15" thickBot="1" x14ac:dyDescent="0.35"/>
    <row r="3" spans="1:9" x14ac:dyDescent="0.3">
      <c r="A3" s="10" t="s">
        <v>20</v>
      </c>
      <c r="B3" s="10"/>
    </row>
    <row r="4" spans="1:9" x14ac:dyDescent="0.3">
      <c r="A4" s="7" t="s">
        <v>21</v>
      </c>
      <c r="B4" s="7">
        <v>0.94291224349739822</v>
      </c>
    </row>
    <row r="5" spans="1:9" x14ac:dyDescent="0.3">
      <c r="A5" s="7" t="s">
        <v>22</v>
      </c>
      <c r="B5" s="7">
        <v>0.88908349893729688</v>
      </c>
    </row>
    <row r="6" spans="1:9" x14ac:dyDescent="0.3">
      <c r="A6" s="7" t="s">
        <v>23</v>
      </c>
      <c r="B6" s="7">
        <v>0.88582124890604097</v>
      </c>
    </row>
    <row r="7" spans="1:9" x14ac:dyDescent="0.3">
      <c r="A7" s="7" t="s">
        <v>24</v>
      </c>
      <c r="B7" s="7">
        <v>13048.155047991331</v>
      </c>
      <c r="H7" s="6" t="s">
        <v>60</v>
      </c>
    </row>
    <row r="8" spans="1:9" ht="15" thickBot="1" x14ac:dyDescent="0.35">
      <c r="A8" s="8" t="s">
        <v>25</v>
      </c>
      <c r="B8" s="8">
        <v>36</v>
      </c>
    </row>
    <row r="10" spans="1:9" ht="15" thickBot="1" x14ac:dyDescent="0.35">
      <c r="A10" t="s">
        <v>26</v>
      </c>
    </row>
    <row r="11" spans="1:9" x14ac:dyDescent="0.3">
      <c r="A11" s="9"/>
      <c r="B11" s="9" t="s">
        <v>31</v>
      </c>
      <c r="C11" s="9" t="s">
        <v>32</v>
      </c>
      <c r="D11" s="9" t="s">
        <v>33</v>
      </c>
      <c r="E11" s="9" t="s">
        <v>34</v>
      </c>
      <c r="F11" s="9" t="s">
        <v>35</v>
      </c>
    </row>
    <row r="12" spans="1:9" x14ac:dyDescent="0.3">
      <c r="A12" s="7" t="s">
        <v>27</v>
      </c>
      <c r="B12" s="7">
        <v>1</v>
      </c>
      <c r="C12" s="7">
        <v>46400592197.431656</v>
      </c>
      <c r="D12" s="7">
        <v>46400592197.431656</v>
      </c>
      <c r="E12" s="7">
        <v>272.53689644229934</v>
      </c>
      <c r="F12" s="7">
        <v>8.3556111338077035E-18</v>
      </c>
    </row>
    <row r="13" spans="1:9" x14ac:dyDescent="0.3">
      <c r="A13" s="7" t="s">
        <v>28</v>
      </c>
      <c r="B13" s="7">
        <v>34</v>
      </c>
      <c r="C13" s="7">
        <v>5788647905.3183365</v>
      </c>
      <c r="D13" s="7">
        <v>170254350.15642166</v>
      </c>
      <c r="E13" s="7"/>
      <c r="F13" s="7"/>
    </row>
    <row r="14" spans="1:9" ht="15" thickBot="1" x14ac:dyDescent="0.35">
      <c r="A14" s="8" t="s">
        <v>29</v>
      </c>
      <c r="B14" s="8">
        <v>35</v>
      </c>
      <c r="C14" s="8">
        <v>52189240102.749992</v>
      </c>
      <c r="D14" s="8"/>
      <c r="E14" s="8"/>
      <c r="F14" s="8"/>
    </row>
    <row r="15" spans="1:9" ht="15" thickBot="1" x14ac:dyDescent="0.35"/>
    <row r="16" spans="1:9" x14ac:dyDescent="0.3">
      <c r="A16" s="9"/>
      <c r="B16" s="9" t="s">
        <v>36</v>
      </c>
      <c r="C16" s="9" t="s">
        <v>24</v>
      </c>
      <c r="D16" s="9" t="s">
        <v>37</v>
      </c>
      <c r="E16" s="9" t="s">
        <v>38</v>
      </c>
      <c r="F16" s="9" t="s">
        <v>39</v>
      </c>
      <c r="G16" s="9" t="s">
        <v>40</v>
      </c>
      <c r="H16" s="9" t="s">
        <v>41</v>
      </c>
      <c r="I16" s="9" t="s">
        <v>42</v>
      </c>
    </row>
    <row r="17" spans="1:9" x14ac:dyDescent="0.3">
      <c r="A17" s="7" t="s">
        <v>30</v>
      </c>
      <c r="B17" s="7">
        <v>-79448.85615536652</v>
      </c>
      <c r="C17" s="7">
        <v>13056.595723574932</v>
      </c>
      <c r="D17" s="7">
        <v>-6.0849594976670689</v>
      </c>
      <c r="E17" s="7">
        <v>6.6826873157010039E-7</v>
      </c>
      <c r="F17" s="7">
        <v>-105983.05112498289</v>
      </c>
      <c r="G17" s="7">
        <v>-52914.661185750156</v>
      </c>
      <c r="H17" s="7">
        <v>-105983.05112498289</v>
      </c>
      <c r="I17" s="7">
        <v>-52914.661185750156</v>
      </c>
    </row>
    <row r="18" spans="1:9" ht="15" thickBot="1" x14ac:dyDescent="0.35">
      <c r="A18" s="8" t="s">
        <v>3</v>
      </c>
      <c r="B18" s="8">
        <v>8.4003177537923346</v>
      </c>
      <c r="C18" s="8">
        <v>0.50884212914236682</v>
      </c>
      <c r="D18" s="8">
        <v>16.508691542405767</v>
      </c>
      <c r="E18" s="8">
        <v>8.3556111338074647E-18</v>
      </c>
      <c r="F18" s="8">
        <v>7.3662261307332217</v>
      </c>
      <c r="G18" s="8">
        <v>9.4344093768514465</v>
      </c>
      <c r="H18" s="8">
        <v>7.3662261307332217</v>
      </c>
      <c r="I18" s="8">
        <v>9.4344093768514465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84ABF-1380-44A4-8489-AA608FF222FE}">
  <dimension ref="A1:I18"/>
  <sheetViews>
    <sheetView workbookViewId="0">
      <selection sqref="A1:I21"/>
    </sheetView>
  </sheetViews>
  <sheetFormatPr defaultRowHeight="14.4" x14ac:dyDescent="0.3"/>
  <cols>
    <col min="1" max="1" width="17.88671875" customWidth="1"/>
    <col min="2" max="2" width="20.33203125" customWidth="1"/>
    <col min="3" max="3" width="17.33203125" customWidth="1"/>
    <col min="4" max="4" width="17.44140625" customWidth="1"/>
    <col min="5" max="5" width="16.88671875" customWidth="1"/>
    <col min="6" max="6" width="17" customWidth="1"/>
    <col min="7" max="7" width="15.109375" customWidth="1"/>
    <col min="8" max="8" width="16.109375" customWidth="1"/>
    <col min="9" max="9" width="19.5546875" customWidth="1"/>
  </cols>
  <sheetData>
    <row r="1" spans="1:9" x14ac:dyDescent="0.3">
      <c r="A1" t="s">
        <v>19</v>
      </c>
    </row>
    <row r="2" spans="1:9" ht="15" thickBot="1" x14ac:dyDescent="0.35"/>
    <row r="3" spans="1:9" x14ac:dyDescent="0.3">
      <c r="A3" s="10" t="s">
        <v>20</v>
      </c>
      <c r="B3" s="10"/>
    </row>
    <row r="4" spans="1:9" x14ac:dyDescent="0.3">
      <c r="A4" s="7" t="s">
        <v>21</v>
      </c>
      <c r="B4" s="7">
        <v>0.88722631323839696</v>
      </c>
    </row>
    <row r="5" spans="1:9" x14ac:dyDescent="0.3">
      <c r="A5" s="7" t="s">
        <v>22</v>
      </c>
      <c r="B5" s="7">
        <v>0.78717053090259803</v>
      </c>
    </row>
    <row r="6" spans="1:9" x14ac:dyDescent="0.3">
      <c r="A6" s="7" t="s">
        <v>23</v>
      </c>
      <c r="B6" s="7">
        <v>0.78091084063502736</v>
      </c>
    </row>
    <row r="7" spans="1:9" x14ac:dyDescent="0.3">
      <c r="A7" s="7" t="s">
        <v>24</v>
      </c>
      <c r="B7" s="7">
        <v>18074.525674083172</v>
      </c>
    </row>
    <row r="8" spans="1:9" ht="15" thickBot="1" x14ac:dyDescent="0.35">
      <c r="A8" s="8" t="s">
        <v>25</v>
      </c>
      <c r="B8" s="8">
        <v>36</v>
      </c>
    </row>
    <row r="10" spans="1:9" ht="15" thickBot="1" x14ac:dyDescent="0.35">
      <c r="A10" t="s">
        <v>26</v>
      </c>
    </row>
    <row r="11" spans="1:9" x14ac:dyDescent="0.3">
      <c r="A11" s="9"/>
      <c r="B11" s="9" t="s">
        <v>31</v>
      </c>
      <c r="C11" s="9" t="s">
        <v>32</v>
      </c>
      <c r="D11" s="9" t="s">
        <v>33</v>
      </c>
      <c r="E11" s="9" t="s">
        <v>34</v>
      </c>
      <c r="F11" s="9" t="s">
        <v>35</v>
      </c>
    </row>
    <row r="12" spans="1:9" x14ac:dyDescent="0.3">
      <c r="A12" s="7" t="s">
        <v>27</v>
      </c>
      <c r="B12" s="7">
        <v>1</v>
      </c>
      <c r="C12" s="7">
        <v>41081831839.084869</v>
      </c>
      <c r="D12" s="7">
        <v>41081831839.084869</v>
      </c>
      <c r="E12" s="7">
        <v>125.75231317444961</v>
      </c>
      <c r="F12" s="7">
        <v>5.7320123128701908E-13</v>
      </c>
    </row>
    <row r="13" spans="1:9" x14ac:dyDescent="0.3">
      <c r="A13" s="7" t="s">
        <v>28</v>
      </c>
      <c r="B13" s="7">
        <v>34</v>
      </c>
      <c r="C13" s="7">
        <v>11107408263.665119</v>
      </c>
      <c r="D13" s="7">
        <v>326688478.34309173</v>
      </c>
      <c r="E13" s="7"/>
      <c r="F13" s="7"/>
    </row>
    <row r="14" spans="1:9" ht="15" thickBot="1" x14ac:dyDescent="0.35">
      <c r="A14" s="8" t="s">
        <v>29</v>
      </c>
      <c r="B14" s="8">
        <v>35</v>
      </c>
      <c r="C14" s="8">
        <v>52189240102.749985</v>
      </c>
      <c r="D14" s="8"/>
      <c r="E14" s="8"/>
      <c r="F14" s="8"/>
    </row>
    <row r="15" spans="1:9" ht="15" thickBot="1" x14ac:dyDescent="0.35"/>
    <row r="16" spans="1:9" x14ac:dyDescent="0.3">
      <c r="A16" s="9"/>
      <c r="B16" s="9" t="s">
        <v>36</v>
      </c>
      <c r="C16" s="9" t="s">
        <v>24</v>
      </c>
      <c r="D16" s="9" t="s">
        <v>37</v>
      </c>
      <c r="E16" s="9" t="s">
        <v>38</v>
      </c>
      <c r="F16" s="9" t="s">
        <v>39</v>
      </c>
      <c r="G16" s="9" t="s">
        <v>40</v>
      </c>
      <c r="H16" s="9" t="s">
        <v>41</v>
      </c>
      <c r="I16" s="9" t="s">
        <v>42</v>
      </c>
    </row>
    <row r="17" spans="1:9" x14ac:dyDescent="0.3">
      <c r="A17" s="7" t="s">
        <v>30</v>
      </c>
      <c r="B17" s="7">
        <v>-57897.682614491874</v>
      </c>
      <c r="C17" s="7">
        <v>17295.431281793717</v>
      </c>
      <c r="D17" s="7">
        <v>-3.3475709088236902</v>
      </c>
      <c r="E17" s="7">
        <v>2.0019671785587827E-3</v>
      </c>
      <c r="F17" s="7">
        <v>-93046.227873199066</v>
      </c>
      <c r="G17" s="7">
        <v>-22749.137355784675</v>
      </c>
      <c r="H17" s="7">
        <v>-93046.227873199066</v>
      </c>
      <c r="I17" s="7">
        <v>-22749.137355784675</v>
      </c>
    </row>
    <row r="18" spans="1:9" ht="15" thickBot="1" x14ac:dyDescent="0.35">
      <c r="A18" s="8" t="s">
        <v>1</v>
      </c>
      <c r="B18" s="8">
        <v>742.76403583623653</v>
      </c>
      <c r="C18" s="8">
        <v>66.235813717231935</v>
      </c>
      <c r="D18" s="8">
        <v>11.213933884879545</v>
      </c>
      <c r="E18" s="8">
        <v>5.7320123128701908E-13</v>
      </c>
      <c r="F18" s="8">
        <v>608.15666708920071</v>
      </c>
      <c r="G18" s="8">
        <v>877.37140458327235</v>
      </c>
      <c r="H18" s="8">
        <v>608.15666708920071</v>
      </c>
      <c r="I18" s="8">
        <v>877.37140458327235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392B6-CE23-4FAB-A302-F87F069050FE}">
  <dimension ref="A1:J20"/>
  <sheetViews>
    <sheetView workbookViewId="0">
      <selection activeCell="J11" sqref="J11"/>
    </sheetView>
  </sheetViews>
  <sheetFormatPr defaultRowHeight="14.4" x14ac:dyDescent="0.3"/>
  <cols>
    <col min="1" max="1" width="17.109375" customWidth="1"/>
    <col min="2" max="2" width="16.44140625" customWidth="1"/>
    <col min="3" max="3" width="17" customWidth="1"/>
    <col min="4" max="4" width="18.21875" customWidth="1"/>
    <col min="5" max="5" width="13.21875" customWidth="1"/>
    <col min="6" max="6" width="14.21875" customWidth="1"/>
    <col min="7" max="7" width="15" customWidth="1"/>
    <col min="8" max="8" width="13.44140625" customWidth="1"/>
    <col min="9" max="9" width="18.6640625" customWidth="1"/>
  </cols>
  <sheetData>
    <row r="1" spans="1:10" x14ac:dyDescent="0.3">
      <c r="A1" t="s">
        <v>19</v>
      </c>
    </row>
    <row r="2" spans="1:10" ht="15" thickBot="1" x14ac:dyDescent="0.35"/>
    <row r="3" spans="1:10" x14ac:dyDescent="0.3">
      <c r="A3" s="10" t="s">
        <v>20</v>
      </c>
      <c r="B3" s="10"/>
    </row>
    <row r="4" spans="1:10" x14ac:dyDescent="0.3">
      <c r="A4" s="7" t="s">
        <v>21</v>
      </c>
      <c r="B4" s="7">
        <v>0.98375175574646656</v>
      </c>
    </row>
    <row r="5" spans="1:10" x14ac:dyDescent="0.3">
      <c r="A5" s="7" t="s">
        <v>22</v>
      </c>
      <c r="B5" s="7">
        <v>0.96776751693425556</v>
      </c>
    </row>
    <row r="6" spans="1:10" x14ac:dyDescent="0.3">
      <c r="A6" s="7" t="s">
        <v>23</v>
      </c>
      <c r="B6" s="7">
        <v>0.96474572164684202</v>
      </c>
    </row>
    <row r="7" spans="1:10" x14ac:dyDescent="0.3">
      <c r="A7" s="7" t="s">
        <v>24</v>
      </c>
      <c r="B7" s="7">
        <v>7250.406880448937</v>
      </c>
    </row>
    <row r="8" spans="1:10" ht="15" thickBot="1" x14ac:dyDescent="0.35">
      <c r="A8" s="8" t="s">
        <v>25</v>
      </c>
      <c r="B8" s="8">
        <v>36</v>
      </c>
      <c r="J8" t="s">
        <v>66</v>
      </c>
    </row>
    <row r="10" spans="1:10" ht="15" thickBot="1" x14ac:dyDescent="0.35">
      <c r="A10" t="s">
        <v>26</v>
      </c>
    </row>
    <row r="11" spans="1:10" x14ac:dyDescent="0.3">
      <c r="A11" s="9"/>
      <c r="B11" s="9" t="s">
        <v>31</v>
      </c>
      <c r="C11" s="9" t="s">
        <v>32</v>
      </c>
      <c r="D11" s="9" t="s">
        <v>33</v>
      </c>
      <c r="E11" s="9" t="s">
        <v>34</v>
      </c>
      <c r="F11" s="9" t="s">
        <v>35</v>
      </c>
    </row>
    <row r="12" spans="1:10" x14ac:dyDescent="0.3">
      <c r="A12" s="7" t="s">
        <v>27</v>
      </c>
      <c r="B12" s="7">
        <v>3</v>
      </c>
      <c r="C12" s="7">
        <v>50507051304.924034</v>
      </c>
      <c r="D12" s="7">
        <v>16835683768.308012</v>
      </c>
      <c r="E12" s="7">
        <v>320.26243503827834</v>
      </c>
      <c r="F12" s="7">
        <v>6.1730131040413347E-24</v>
      </c>
    </row>
    <row r="13" spans="1:10" x14ac:dyDescent="0.3">
      <c r="A13" s="7" t="s">
        <v>28</v>
      </c>
      <c r="B13" s="7">
        <v>32</v>
      </c>
      <c r="C13" s="7">
        <v>1682188797.8259611</v>
      </c>
      <c r="D13" s="7">
        <v>52568399.932061285</v>
      </c>
      <c r="E13" s="7"/>
      <c r="F13" s="7"/>
    </row>
    <row r="14" spans="1:10" ht="15" thickBot="1" x14ac:dyDescent="0.35">
      <c r="A14" s="8" t="s">
        <v>29</v>
      </c>
      <c r="B14" s="8">
        <v>35</v>
      </c>
      <c r="C14" s="8">
        <v>52189240102.749992</v>
      </c>
      <c r="D14" s="8"/>
      <c r="E14" s="8"/>
      <c r="F14" s="8"/>
    </row>
    <row r="15" spans="1:10" ht="15" thickBot="1" x14ac:dyDescent="0.35"/>
    <row r="16" spans="1:10" x14ac:dyDescent="0.3">
      <c r="A16" s="9"/>
      <c r="B16" s="9" t="s">
        <v>36</v>
      </c>
      <c r="C16" s="9" t="s">
        <v>24</v>
      </c>
      <c r="D16" s="9" t="s">
        <v>37</v>
      </c>
      <c r="E16" s="9" t="s">
        <v>38</v>
      </c>
      <c r="F16" s="9" t="s">
        <v>39</v>
      </c>
      <c r="G16" s="9" t="s">
        <v>40</v>
      </c>
      <c r="H16" s="9" t="s">
        <v>41</v>
      </c>
      <c r="I16" s="9" t="s">
        <v>42</v>
      </c>
    </row>
    <row r="17" spans="1:9" x14ac:dyDescent="0.3">
      <c r="A17" s="7" t="s">
        <v>30</v>
      </c>
      <c r="B17" s="7">
        <v>-92393.750931063521</v>
      </c>
      <c r="C17" s="7">
        <v>7404.6798601033197</v>
      </c>
      <c r="D17" s="7">
        <v>-12.47775091923749</v>
      </c>
      <c r="E17" s="7">
        <v>7.7831634536935957E-14</v>
      </c>
      <c r="F17" s="7">
        <v>-107476.59023575544</v>
      </c>
      <c r="G17" s="7">
        <v>-77310.911626371599</v>
      </c>
      <c r="H17" s="7">
        <v>-107476.59023575544</v>
      </c>
      <c r="I17" s="7">
        <v>-77310.911626371599</v>
      </c>
    </row>
    <row r="18" spans="1:9" x14ac:dyDescent="0.3">
      <c r="A18" s="7" t="s">
        <v>1</v>
      </c>
      <c r="B18" s="7">
        <v>-286.93315112223905</v>
      </c>
      <c r="C18" s="7">
        <v>94.479452707871928</v>
      </c>
      <c r="D18" s="7">
        <v>-3.0369899792860684</v>
      </c>
      <c r="E18" s="7">
        <v>4.7254821147425137E-3</v>
      </c>
      <c r="F18" s="7">
        <v>-479.38149861476512</v>
      </c>
      <c r="G18" s="7">
        <v>-94.484803629712985</v>
      </c>
      <c r="H18" s="7">
        <v>-479.38149861476512</v>
      </c>
      <c r="I18" s="7">
        <v>-94.484803629712985</v>
      </c>
    </row>
    <row r="19" spans="1:9" x14ac:dyDescent="0.3">
      <c r="A19" s="7" t="s">
        <v>2</v>
      </c>
      <c r="B19" s="7">
        <v>4394.1003063596791</v>
      </c>
      <c r="C19" s="7">
        <v>508.7430761565472</v>
      </c>
      <c r="D19" s="7">
        <v>8.6371697469697928</v>
      </c>
      <c r="E19" s="7">
        <v>7.1844551588517064E-10</v>
      </c>
      <c r="F19" s="7">
        <v>3357.8245712819462</v>
      </c>
      <c r="G19" s="7">
        <v>5430.3760414374119</v>
      </c>
      <c r="H19" s="7">
        <v>3357.8245712819462</v>
      </c>
      <c r="I19" s="7">
        <v>5430.3760414374119</v>
      </c>
    </row>
    <row r="20" spans="1:9" ht="15" thickBot="1" x14ac:dyDescent="0.35">
      <c r="A20" s="8" t="s">
        <v>3</v>
      </c>
      <c r="B20" s="8">
        <v>10.203658910105771</v>
      </c>
      <c r="C20" s="8">
        <v>0.99599681806770257</v>
      </c>
      <c r="D20" s="8">
        <v>10.244670188707552</v>
      </c>
      <c r="E20" s="8">
        <v>1.2507949055791611E-11</v>
      </c>
      <c r="F20" s="8">
        <v>8.1748797814035044</v>
      </c>
      <c r="G20" s="8">
        <v>12.232438038808038</v>
      </c>
      <c r="H20" s="8">
        <v>8.1748797814035044</v>
      </c>
      <c r="I20" s="8">
        <v>12.232438038808038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7A901-B6C8-4416-980F-CA6E1A57A2D5}">
  <dimension ref="A1:I18"/>
  <sheetViews>
    <sheetView workbookViewId="0">
      <selection activeCell="I9" sqref="I9"/>
    </sheetView>
  </sheetViews>
  <sheetFormatPr defaultRowHeight="14.4" x14ac:dyDescent="0.3"/>
  <cols>
    <col min="1" max="1" width="15" customWidth="1"/>
    <col min="2" max="2" width="20.44140625" customWidth="1"/>
    <col min="3" max="3" width="17.109375" customWidth="1"/>
    <col min="4" max="4" width="13.21875" customWidth="1"/>
    <col min="5" max="5" width="17" customWidth="1"/>
    <col min="6" max="6" width="21.44140625" customWidth="1"/>
    <col min="7" max="7" width="15.21875" customWidth="1"/>
    <col min="8" max="8" width="14.44140625" customWidth="1"/>
    <col min="9" max="9" width="25.5546875" customWidth="1"/>
  </cols>
  <sheetData>
    <row r="1" spans="1:9" x14ac:dyDescent="0.3">
      <c r="A1" t="s">
        <v>19</v>
      </c>
    </row>
    <row r="2" spans="1:9" ht="15" thickBot="1" x14ac:dyDescent="0.35"/>
    <row r="3" spans="1:9" x14ac:dyDescent="0.3">
      <c r="A3" s="10" t="s">
        <v>20</v>
      </c>
      <c r="B3" s="10"/>
    </row>
    <row r="4" spans="1:9" x14ac:dyDescent="0.3">
      <c r="A4" s="7" t="s">
        <v>21</v>
      </c>
      <c r="B4" s="7">
        <v>0.63098084278093991</v>
      </c>
    </row>
    <row r="5" spans="1:9" x14ac:dyDescent="0.3">
      <c r="A5" s="7" t="s">
        <v>22</v>
      </c>
      <c r="B5" s="7">
        <v>0.39813682395654526</v>
      </c>
    </row>
    <row r="6" spans="1:9" x14ac:dyDescent="0.3">
      <c r="A6" s="7" t="s">
        <v>23</v>
      </c>
      <c r="B6" s="7">
        <v>0.38043496583762015</v>
      </c>
    </row>
    <row r="7" spans="1:9" x14ac:dyDescent="0.3">
      <c r="A7" s="7" t="s">
        <v>24</v>
      </c>
      <c r="B7" s="7">
        <v>30394.8437014142</v>
      </c>
    </row>
    <row r="8" spans="1:9" ht="15" thickBot="1" x14ac:dyDescent="0.35">
      <c r="A8" s="8" t="s">
        <v>25</v>
      </c>
      <c r="B8" s="8">
        <v>36</v>
      </c>
    </row>
    <row r="10" spans="1:9" ht="15" thickBot="1" x14ac:dyDescent="0.35">
      <c r="A10" t="s">
        <v>26</v>
      </c>
    </row>
    <row r="11" spans="1:9" x14ac:dyDescent="0.3">
      <c r="A11" s="9"/>
      <c r="B11" s="9" t="s">
        <v>31</v>
      </c>
      <c r="C11" s="9" t="s">
        <v>32</v>
      </c>
      <c r="D11" s="9" t="s">
        <v>33</v>
      </c>
      <c r="E11" s="9" t="s">
        <v>34</v>
      </c>
      <c r="F11" s="9" t="s">
        <v>35</v>
      </c>
    </row>
    <row r="12" spans="1:9" x14ac:dyDescent="0.3">
      <c r="A12" s="7" t="s">
        <v>27</v>
      </c>
      <c r="B12" s="7">
        <v>1</v>
      </c>
      <c r="C12" s="7">
        <v>20778458299.214447</v>
      </c>
      <c r="D12" s="7">
        <v>20778458299.214447</v>
      </c>
      <c r="E12" s="7">
        <v>22.491244776778284</v>
      </c>
      <c r="F12" s="7">
        <v>3.6961079879853241E-5</v>
      </c>
    </row>
    <row r="13" spans="1:9" x14ac:dyDescent="0.3">
      <c r="A13" s="7" t="s">
        <v>28</v>
      </c>
      <c r="B13" s="7">
        <v>34</v>
      </c>
      <c r="C13" s="7">
        <v>31410781803.535545</v>
      </c>
      <c r="D13" s="7">
        <v>923846523.63339841</v>
      </c>
      <c r="E13" s="7"/>
      <c r="F13" s="7"/>
    </row>
    <row r="14" spans="1:9" ht="15" thickBot="1" x14ac:dyDescent="0.35">
      <c r="A14" s="8" t="s">
        <v>29</v>
      </c>
      <c r="B14" s="8">
        <v>35</v>
      </c>
      <c r="C14" s="8">
        <v>52189240102.749992</v>
      </c>
      <c r="D14" s="8"/>
      <c r="E14" s="8"/>
      <c r="F14" s="8"/>
    </row>
    <row r="15" spans="1:9" ht="15" thickBot="1" x14ac:dyDescent="0.35"/>
    <row r="16" spans="1:9" x14ac:dyDescent="0.3">
      <c r="A16" s="9"/>
      <c r="B16" s="9" t="s">
        <v>36</v>
      </c>
      <c r="C16" s="9" t="s">
        <v>24</v>
      </c>
      <c r="D16" s="9" t="s">
        <v>37</v>
      </c>
      <c r="E16" s="9" t="s">
        <v>38</v>
      </c>
      <c r="F16" s="9" t="s">
        <v>39</v>
      </c>
      <c r="G16" s="9" t="s">
        <v>40</v>
      </c>
      <c r="H16" s="9" t="s">
        <v>41</v>
      </c>
      <c r="I16" s="9" t="s">
        <v>42</v>
      </c>
    </row>
    <row r="17" spans="1:9" x14ac:dyDescent="0.3">
      <c r="A17" s="7" t="s">
        <v>30</v>
      </c>
      <c r="B17" s="7">
        <v>47826.380161469657</v>
      </c>
      <c r="C17" s="7">
        <v>18678.218627252132</v>
      </c>
      <c r="D17" s="7">
        <v>2.5605429037911249</v>
      </c>
      <c r="E17" s="7">
        <v>1.5062922406524041E-2</v>
      </c>
      <c r="F17" s="7">
        <v>9867.6729124005651</v>
      </c>
      <c r="G17" s="7">
        <v>85785.087410538748</v>
      </c>
      <c r="H17" s="7">
        <v>9867.6729124005651</v>
      </c>
      <c r="I17" s="7">
        <v>85785.087410538748</v>
      </c>
    </row>
    <row r="18" spans="1:9" ht="15" thickBot="1" x14ac:dyDescent="0.35">
      <c r="A18" s="8" t="s">
        <v>2</v>
      </c>
      <c r="B18" s="8">
        <v>9116.1369592726223</v>
      </c>
      <c r="C18" s="8">
        <v>1922.2244422577908</v>
      </c>
      <c r="D18" s="8">
        <v>4.7424935188968176</v>
      </c>
      <c r="E18" s="8">
        <v>3.6961079879852963E-5</v>
      </c>
      <c r="F18" s="8">
        <v>5209.7068908179117</v>
      </c>
      <c r="G18" s="8">
        <v>13022.567027727333</v>
      </c>
      <c r="H18" s="8">
        <v>5209.7068908179117</v>
      </c>
      <c r="I18" s="8">
        <v>13022.567027727333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0"/>
  <sheetViews>
    <sheetView tabSelected="1" topLeftCell="I1" workbookViewId="0">
      <pane ySplit="1" topLeftCell="A2" activePane="bottomLeft" state="frozen"/>
      <selection pane="bottomLeft" activeCell="R46" sqref="R46"/>
    </sheetView>
  </sheetViews>
  <sheetFormatPr defaultRowHeight="14.4" x14ac:dyDescent="0.3"/>
  <cols>
    <col min="1" max="1" width="12" style="3" customWidth="1"/>
    <col min="2" max="2" width="19" customWidth="1"/>
    <col min="3" max="3" width="21" customWidth="1"/>
    <col min="4" max="4" width="16" customWidth="1"/>
    <col min="5" max="5" width="17" customWidth="1"/>
    <col min="6" max="6" width="15" customWidth="1"/>
    <col min="7" max="7" width="18" customWidth="1"/>
    <col min="8" max="8" width="8" customWidth="1"/>
  </cols>
  <sheetData>
    <row r="1" spans="1:16" ht="13.2" customHeight="1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6" x14ac:dyDescent="0.3">
      <c r="A2" s="3">
        <v>44927</v>
      </c>
      <c r="B2">
        <v>185</v>
      </c>
      <c r="C2">
        <v>5.2</v>
      </c>
      <c r="D2">
        <v>17982</v>
      </c>
      <c r="E2">
        <v>18</v>
      </c>
      <c r="F2">
        <v>1456</v>
      </c>
      <c r="G2">
        <v>104.4</v>
      </c>
      <c r="H2">
        <v>59004</v>
      </c>
    </row>
    <row r="3" spans="1:16" x14ac:dyDescent="0.3">
      <c r="A3" s="3">
        <v>44958</v>
      </c>
      <c r="B3">
        <v>200.6</v>
      </c>
      <c r="C3">
        <v>3.9</v>
      </c>
      <c r="D3">
        <v>20302</v>
      </c>
      <c r="E3">
        <v>18</v>
      </c>
      <c r="F3">
        <v>1478</v>
      </c>
      <c r="G3">
        <v>102.6</v>
      </c>
      <c r="H3">
        <v>65511</v>
      </c>
    </row>
    <row r="4" spans="1:16" x14ac:dyDescent="0.3">
      <c r="A4" s="3">
        <v>44986</v>
      </c>
      <c r="B4">
        <v>225.8</v>
      </c>
      <c r="C4">
        <v>5.6</v>
      </c>
      <c r="D4">
        <v>19435</v>
      </c>
      <c r="E4">
        <v>16</v>
      </c>
      <c r="F4">
        <v>1435</v>
      </c>
      <c r="G4">
        <v>101.6</v>
      </c>
      <c r="H4">
        <v>72638</v>
      </c>
    </row>
    <row r="5" spans="1:16" x14ac:dyDescent="0.3">
      <c r="A5" s="3">
        <v>45017</v>
      </c>
      <c r="B5">
        <v>243.7</v>
      </c>
      <c r="C5">
        <v>8.4</v>
      </c>
      <c r="D5">
        <v>21871</v>
      </c>
      <c r="E5">
        <v>18</v>
      </c>
      <c r="F5">
        <v>1441</v>
      </c>
      <c r="G5">
        <v>102.3</v>
      </c>
      <c r="H5">
        <v>92649</v>
      </c>
      <c r="J5" t="s">
        <v>11</v>
      </c>
      <c r="P5" s="5" t="s">
        <v>12</v>
      </c>
    </row>
    <row r="6" spans="1:16" x14ac:dyDescent="0.3">
      <c r="A6" s="3">
        <v>45047</v>
      </c>
      <c r="B6">
        <v>226</v>
      </c>
      <c r="C6">
        <v>10.4</v>
      </c>
      <c r="D6">
        <v>21629</v>
      </c>
      <c r="E6">
        <v>18</v>
      </c>
      <c r="F6">
        <v>1495</v>
      </c>
      <c r="G6">
        <v>99.1</v>
      </c>
      <c r="H6">
        <v>108440</v>
      </c>
    </row>
    <row r="7" spans="1:16" x14ac:dyDescent="0.3">
      <c r="A7" s="3">
        <v>45078</v>
      </c>
      <c r="B7">
        <v>217.7</v>
      </c>
      <c r="C7">
        <v>11.1</v>
      </c>
      <c r="D7">
        <v>21050</v>
      </c>
      <c r="E7">
        <v>21</v>
      </c>
      <c r="F7">
        <v>1497</v>
      </c>
      <c r="G7">
        <v>98.3</v>
      </c>
      <c r="H7">
        <v>95683</v>
      </c>
      <c r="J7" t="s">
        <v>13</v>
      </c>
      <c r="P7" s="5" t="s">
        <v>14</v>
      </c>
    </row>
    <row r="8" spans="1:16" x14ac:dyDescent="0.3">
      <c r="A8" s="3">
        <v>45108</v>
      </c>
      <c r="B8">
        <v>222.8</v>
      </c>
      <c r="C8">
        <v>11.4</v>
      </c>
      <c r="D8">
        <v>20566</v>
      </c>
      <c r="E8">
        <v>18</v>
      </c>
      <c r="F8">
        <v>1504</v>
      </c>
      <c r="G8">
        <v>96.3</v>
      </c>
      <c r="H8">
        <v>107273</v>
      </c>
      <c r="J8" s="6" t="s">
        <v>15</v>
      </c>
    </row>
    <row r="9" spans="1:16" x14ac:dyDescent="0.3">
      <c r="A9" s="3">
        <v>45139</v>
      </c>
      <c r="B9">
        <v>201.7</v>
      </c>
      <c r="C9">
        <v>10.9</v>
      </c>
      <c r="D9">
        <v>18846</v>
      </c>
      <c r="E9">
        <v>19</v>
      </c>
      <c r="F9">
        <v>1515</v>
      </c>
      <c r="G9">
        <v>94.8</v>
      </c>
      <c r="H9">
        <v>94197</v>
      </c>
      <c r="J9">
        <f>CORREL(C1:C37,H1:H37)</f>
        <v>0.63098084278094013</v>
      </c>
    </row>
    <row r="10" spans="1:16" x14ac:dyDescent="0.3">
      <c r="A10" s="3">
        <v>45170</v>
      </c>
      <c r="B10">
        <v>181</v>
      </c>
      <c r="C10">
        <v>9</v>
      </c>
      <c r="D10">
        <v>19345</v>
      </c>
      <c r="E10">
        <v>19</v>
      </c>
      <c r="F10">
        <v>1497</v>
      </c>
      <c r="G10">
        <v>94.1</v>
      </c>
      <c r="H10">
        <v>94540</v>
      </c>
      <c r="J10" s="6" t="s">
        <v>16</v>
      </c>
    </row>
    <row r="11" spans="1:16" x14ac:dyDescent="0.3">
      <c r="A11" s="3">
        <v>45200</v>
      </c>
      <c r="B11">
        <v>190.9</v>
      </c>
      <c r="C11">
        <v>8.1</v>
      </c>
      <c r="D11">
        <v>19759</v>
      </c>
      <c r="E11">
        <v>18</v>
      </c>
      <c r="F11">
        <v>1528</v>
      </c>
      <c r="G11">
        <v>94.4</v>
      </c>
      <c r="H11">
        <v>100927</v>
      </c>
      <c r="J11">
        <f>CORREL(B1:B37,H1:H37)</f>
        <v>0.88722631323839696</v>
      </c>
    </row>
    <row r="12" spans="1:16" x14ac:dyDescent="0.3">
      <c r="A12" s="3">
        <v>45231</v>
      </c>
      <c r="B12">
        <v>190.1</v>
      </c>
      <c r="C12">
        <v>6.9</v>
      </c>
      <c r="D12">
        <v>21034</v>
      </c>
      <c r="E12">
        <v>20</v>
      </c>
      <c r="F12">
        <v>1537</v>
      </c>
      <c r="G12">
        <v>97.8</v>
      </c>
      <c r="H12">
        <v>97272</v>
      </c>
      <c r="J12" s="6" t="s">
        <v>17</v>
      </c>
    </row>
    <row r="13" spans="1:16" x14ac:dyDescent="0.3">
      <c r="A13" s="3">
        <v>45261</v>
      </c>
      <c r="B13">
        <v>207.3</v>
      </c>
      <c r="C13">
        <v>7.1</v>
      </c>
      <c r="D13">
        <v>21261</v>
      </c>
      <c r="E13">
        <v>20</v>
      </c>
      <c r="F13">
        <v>1520</v>
      </c>
      <c r="G13">
        <v>101.6</v>
      </c>
      <c r="H13">
        <v>96124</v>
      </c>
      <c r="J13">
        <f>CORREL(D1:D37,H1:H37)</f>
        <v>0.94291224349739833</v>
      </c>
    </row>
    <row r="14" spans="1:16" x14ac:dyDescent="0.3">
      <c r="A14" s="3">
        <v>45292</v>
      </c>
      <c r="B14">
        <v>236.4</v>
      </c>
      <c r="C14">
        <v>6.2</v>
      </c>
      <c r="D14">
        <v>22636</v>
      </c>
      <c r="E14">
        <v>20</v>
      </c>
      <c r="F14">
        <v>1593</v>
      </c>
      <c r="G14">
        <v>102</v>
      </c>
      <c r="H14">
        <v>101547</v>
      </c>
      <c r="J14" s="6" t="s">
        <v>18</v>
      </c>
    </row>
    <row r="15" spans="1:16" x14ac:dyDescent="0.3">
      <c r="A15" s="3">
        <v>45323</v>
      </c>
      <c r="B15">
        <v>236.9</v>
      </c>
      <c r="C15">
        <v>5</v>
      </c>
      <c r="D15">
        <v>24309</v>
      </c>
      <c r="E15">
        <v>18</v>
      </c>
      <c r="F15">
        <v>1566</v>
      </c>
      <c r="G15">
        <v>100.2</v>
      </c>
      <c r="H15">
        <v>108085</v>
      </c>
      <c r="J15">
        <f>CORREL(E1:E37,H1:H37)</f>
        <v>0.69108351965929371</v>
      </c>
    </row>
    <row r="16" spans="1:16" x14ac:dyDescent="0.3">
      <c r="A16" s="3">
        <v>45352</v>
      </c>
      <c r="B16">
        <v>256.10000000000002</v>
      </c>
      <c r="C16">
        <v>7.9</v>
      </c>
      <c r="D16">
        <v>26243</v>
      </c>
      <c r="E16">
        <v>21</v>
      </c>
      <c r="F16">
        <v>1532</v>
      </c>
      <c r="G16">
        <v>101.6</v>
      </c>
      <c r="H16">
        <v>120677</v>
      </c>
      <c r="J16">
        <f>CORREL(F1:F37,H1:H37)</f>
        <v>0.92032915137859972</v>
      </c>
    </row>
    <row r="17" spans="1:17" ht="18" x14ac:dyDescent="0.35">
      <c r="A17" s="3">
        <v>45383</v>
      </c>
      <c r="B17">
        <v>276.89999999999998</v>
      </c>
      <c r="C17">
        <v>8.9</v>
      </c>
      <c r="D17">
        <v>26664</v>
      </c>
      <c r="E17">
        <v>18</v>
      </c>
      <c r="F17">
        <v>1586</v>
      </c>
      <c r="G17">
        <v>100.3</v>
      </c>
      <c r="H17">
        <v>129425</v>
      </c>
      <c r="K17" s="11" t="s">
        <v>43</v>
      </c>
    </row>
    <row r="18" spans="1:17" x14ac:dyDescent="0.3">
      <c r="A18" s="3">
        <v>45413</v>
      </c>
      <c r="B18">
        <v>272.2</v>
      </c>
      <c r="C18">
        <v>10.199999999999999</v>
      </c>
      <c r="D18">
        <v>26360</v>
      </c>
      <c r="E18">
        <v>20</v>
      </c>
      <c r="F18">
        <v>1554</v>
      </c>
      <c r="G18">
        <v>96.3</v>
      </c>
      <c r="H18">
        <v>138172</v>
      </c>
      <c r="J18" t="s">
        <v>58</v>
      </c>
    </row>
    <row r="19" spans="1:17" x14ac:dyDescent="0.3">
      <c r="A19" s="3">
        <v>45444</v>
      </c>
      <c r="B19">
        <v>277.10000000000002</v>
      </c>
      <c r="C19">
        <v>12.4</v>
      </c>
      <c r="D19">
        <v>26497</v>
      </c>
      <c r="E19">
        <v>22</v>
      </c>
      <c r="F19">
        <v>1606</v>
      </c>
      <c r="G19">
        <v>95.7</v>
      </c>
      <c r="H19">
        <v>145707</v>
      </c>
      <c r="J19" t="s">
        <v>63</v>
      </c>
    </row>
    <row r="20" spans="1:17" x14ac:dyDescent="0.3">
      <c r="A20" s="3">
        <v>45474</v>
      </c>
      <c r="B20">
        <v>251.9</v>
      </c>
      <c r="C20">
        <v>13.3</v>
      </c>
      <c r="D20">
        <v>25609</v>
      </c>
      <c r="E20">
        <v>19</v>
      </c>
      <c r="F20">
        <v>1623</v>
      </c>
      <c r="G20">
        <v>93.9</v>
      </c>
      <c r="H20">
        <v>155509</v>
      </c>
      <c r="J20" t="s">
        <v>44</v>
      </c>
      <c r="O20" s="13" t="s">
        <v>59</v>
      </c>
    </row>
    <row r="21" spans="1:17" x14ac:dyDescent="0.3">
      <c r="A21" s="3">
        <v>45505</v>
      </c>
      <c r="B21">
        <v>233.9</v>
      </c>
      <c r="C21">
        <v>12.9</v>
      </c>
      <c r="D21">
        <v>25364</v>
      </c>
      <c r="E21">
        <v>19</v>
      </c>
      <c r="F21">
        <v>1581</v>
      </c>
      <c r="G21">
        <v>91.4</v>
      </c>
      <c r="H21">
        <v>148719</v>
      </c>
      <c r="J21" t="s">
        <v>45</v>
      </c>
    </row>
    <row r="22" spans="1:17" x14ac:dyDescent="0.3">
      <c r="A22" s="3">
        <v>45536</v>
      </c>
      <c r="B22">
        <v>254.3</v>
      </c>
      <c r="C22">
        <v>10.4</v>
      </c>
      <c r="D22">
        <v>24144</v>
      </c>
      <c r="E22">
        <v>20</v>
      </c>
      <c r="F22">
        <v>1634</v>
      </c>
      <c r="G22">
        <v>94.1</v>
      </c>
      <c r="H22">
        <v>131715</v>
      </c>
      <c r="J22" s="12"/>
    </row>
    <row r="23" spans="1:17" x14ac:dyDescent="0.3">
      <c r="A23" s="3">
        <v>45566</v>
      </c>
      <c r="B23">
        <v>237.2</v>
      </c>
      <c r="C23">
        <v>9.4</v>
      </c>
      <c r="D23">
        <v>24456</v>
      </c>
      <c r="E23">
        <v>20</v>
      </c>
      <c r="F23">
        <v>1628</v>
      </c>
      <c r="G23">
        <v>95.7</v>
      </c>
      <c r="H23">
        <v>138518</v>
      </c>
      <c r="J23" t="s">
        <v>46</v>
      </c>
    </row>
    <row r="24" spans="1:17" x14ac:dyDescent="0.3">
      <c r="A24" s="3">
        <v>45597</v>
      </c>
      <c r="B24">
        <v>249.4</v>
      </c>
      <c r="C24">
        <v>8.5</v>
      </c>
      <c r="D24">
        <v>25139</v>
      </c>
      <c r="E24">
        <v>19</v>
      </c>
      <c r="F24">
        <v>1647</v>
      </c>
      <c r="G24">
        <v>98.3</v>
      </c>
      <c r="H24">
        <v>134089</v>
      </c>
    </row>
    <row r="25" spans="1:17" x14ac:dyDescent="0.3">
      <c r="A25" s="3">
        <v>45627</v>
      </c>
      <c r="B25">
        <v>251.8</v>
      </c>
      <c r="C25">
        <v>8</v>
      </c>
      <c r="D25">
        <v>25828</v>
      </c>
      <c r="E25">
        <v>20</v>
      </c>
      <c r="F25">
        <v>1681</v>
      </c>
      <c r="G25">
        <v>100.1</v>
      </c>
      <c r="H25">
        <v>142733</v>
      </c>
      <c r="J25" t="s">
        <v>47</v>
      </c>
      <c r="Q25" s="13" t="s">
        <v>61</v>
      </c>
    </row>
    <row r="26" spans="1:17" x14ac:dyDescent="0.3">
      <c r="A26" s="3">
        <v>45658</v>
      </c>
      <c r="B26">
        <v>282.60000000000002</v>
      </c>
      <c r="C26">
        <v>6.5</v>
      </c>
      <c r="D26">
        <v>28228</v>
      </c>
      <c r="E26">
        <v>19</v>
      </c>
      <c r="F26">
        <v>1636</v>
      </c>
      <c r="G26">
        <v>97.8</v>
      </c>
      <c r="H26">
        <v>141045</v>
      </c>
    </row>
    <row r="27" spans="1:17" x14ac:dyDescent="0.3">
      <c r="A27" s="3">
        <v>45689</v>
      </c>
      <c r="B27">
        <v>311.10000000000002</v>
      </c>
      <c r="C27">
        <v>7.3</v>
      </c>
      <c r="D27">
        <v>29731</v>
      </c>
      <c r="E27">
        <v>21</v>
      </c>
      <c r="F27">
        <v>1631</v>
      </c>
      <c r="G27">
        <v>98.8</v>
      </c>
      <c r="H27">
        <v>156271</v>
      </c>
      <c r="J27" t="s">
        <v>48</v>
      </c>
      <c r="Q27" s="13" t="s">
        <v>62</v>
      </c>
    </row>
    <row r="28" spans="1:17" x14ac:dyDescent="0.3">
      <c r="A28" s="3">
        <v>45717</v>
      </c>
      <c r="B28">
        <v>315.8</v>
      </c>
      <c r="C28">
        <v>7.7</v>
      </c>
      <c r="D28">
        <v>30828</v>
      </c>
      <c r="E28">
        <v>20</v>
      </c>
      <c r="F28">
        <v>1636</v>
      </c>
      <c r="G28">
        <v>100.3</v>
      </c>
      <c r="H28">
        <v>162793</v>
      </c>
    </row>
    <row r="29" spans="1:17" x14ac:dyDescent="0.3">
      <c r="A29" s="3">
        <v>45748</v>
      </c>
      <c r="B29">
        <v>340.3</v>
      </c>
      <c r="C29">
        <v>9.1999999999999993</v>
      </c>
      <c r="D29">
        <v>31423</v>
      </c>
      <c r="E29">
        <v>22</v>
      </c>
      <c r="F29">
        <v>1646</v>
      </c>
      <c r="G29">
        <v>98.7</v>
      </c>
      <c r="H29">
        <v>177653</v>
      </c>
      <c r="J29" t="s">
        <v>49</v>
      </c>
      <c r="O29" s="13" t="s">
        <v>64</v>
      </c>
    </row>
    <row r="30" spans="1:17" x14ac:dyDescent="0.3">
      <c r="A30" s="3">
        <v>45778</v>
      </c>
      <c r="B30">
        <v>330.3</v>
      </c>
      <c r="C30">
        <v>12.4</v>
      </c>
      <c r="D30">
        <v>30958</v>
      </c>
      <c r="E30">
        <v>20</v>
      </c>
      <c r="F30">
        <v>1672</v>
      </c>
      <c r="G30">
        <v>96.6</v>
      </c>
      <c r="H30">
        <v>175886</v>
      </c>
    </row>
    <row r="31" spans="1:17" x14ac:dyDescent="0.3">
      <c r="A31" s="3">
        <v>45809</v>
      </c>
      <c r="B31">
        <v>325.10000000000002</v>
      </c>
      <c r="C31">
        <v>14</v>
      </c>
      <c r="D31">
        <v>31070</v>
      </c>
      <c r="E31">
        <v>21</v>
      </c>
      <c r="F31">
        <v>1691</v>
      </c>
      <c r="G31">
        <v>99.4</v>
      </c>
      <c r="H31">
        <v>185497</v>
      </c>
    </row>
    <row r="32" spans="1:17" ht="18" x14ac:dyDescent="0.35">
      <c r="A32" s="3">
        <v>45839</v>
      </c>
      <c r="B32">
        <v>309</v>
      </c>
      <c r="C32">
        <v>13.3</v>
      </c>
      <c r="D32">
        <v>30429</v>
      </c>
      <c r="E32">
        <v>22</v>
      </c>
      <c r="F32">
        <v>1697</v>
      </c>
      <c r="G32">
        <v>92.9</v>
      </c>
      <c r="H32">
        <v>185825</v>
      </c>
      <c r="K32" s="11" t="s">
        <v>50</v>
      </c>
    </row>
    <row r="33" spans="1:20" x14ac:dyDescent="0.3">
      <c r="A33" s="3">
        <v>45870</v>
      </c>
      <c r="B33">
        <v>320.5</v>
      </c>
      <c r="C33">
        <v>13.9</v>
      </c>
      <c r="D33">
        <v>29519</v>
      </c>
      <c r="E33">
        <v>20</v>
      </c>
      <c r="F33">
        <v>1719</v>
      </c>
      <c r="G33">
        <v>93.1</v>
      </c>
      <c r="H33">
        <v>186097</v>
      </c>
      <c r="J33" t="s">
        <v>51</v>
      </c>
      <c r="R33" s="13" t="s">
        <v>65</v>
      </c>
    </row>
    <row r="34" spans="1:20" x14ac:dyDescent="0.3">
      <c r="A34" s="3">
        <v>45901</v>
      </c>
      <c r="B34">
        <v>293.60000000000002</v>
      </c>
      <c r="C34">
        <v>12.3</v>
      </c>
      <c r="D34">
        <v>29454</v>
      </c>
      <c r="E34">
        <v>21</v>
      </c>
      <c r="F34">
        <v>1706</v>
      </c>
      <c r="G34">
        <v>93.2</v>
      </c>
      <c r="H34">
        <v>192275</v>
      </c>
      <c r="J34" t="s">
        <v>52</v>
      </c>
      <c r="R34" s="13" t="s">
        <v>66</v>
      </c>
    </row>
    <row r="35" spans="1:20" x14ac:dyDescent="0.3">
      <c r="A35" s="3">
        <v>45931</v>
      </c>
      <c r="B35">
        <v>282.89999999999998</v>
      </c>
      <c r="C35">
        <v>10.1</v>
      </c>
      <c r="D35">
        <v>29862</v>
      </c>
      <c r="E35">
        <v>23</v>
      </c>
      <c r="F35">
        <v>1750</v>
      </c>
      <c r="G35">
        <v>94</v>
      </c>
      <c r="H35">
        <v>182300</v>
      </c>
      <c r="J35" t="s">
        <v>53</v>
      </c>
      <c r="R35" s="13" t="s">
        <v>67</v>
      </c>
    </row>
    <row r="36" spans="1:20" x14ac:dyDescent="0.3">
      <c r="A36" s="3">
        <v>45962</v>
      </c>
      <c r="B36">
        <v>310.89999999999998</v>
      </c>
      <c r="C36">
        <v>9.5</v>
      </c>
      <c r="D36">
        <v>31318</v>
      </c>
      <c r="E36">
        <v>20</v>
      </c>
      <c r="F36">
        <v>1715</v>
      </c>
      <c r="G36">
        <v>94.4</v>
      </c>
      <c r="H36">
        <v>177568</v>
      </c>
      <c r="J36" t="s">
        <v>54</v>
      </c>
      <c r="R36" s="6" t="s">
        <v>68</v>
      </c>
    </row>
    <row r="37" spans="1:20" x14ac:dyDescent="0.3">
      <c r="A37" s="3">
        <v>45992</v>
      </c>
      <c r="B37">
        <v>307.8</v>
      </c>
      <c r="C37">
        <v>9.4</v>
      </c>
      <c r="D37">
        <v>31687</v>
      </c>
      <c r="E37">
        <v>22</v>
      </c>
      <c r="F37">
        <v>1798</v>
      </c>
      <c r="G37">
        <v>97.9</v>
      </c>
      <c r="H37">
        <v>188789</v>
      </c>
      <c r="J37" t="s">
        <v>55</v>
      </c>
      <c r="R37" s="5" t="s">
        <v>69</v>
      </c>
    </row>
    <row r="38" spans="1:20" x14ac:dyDescent="0.3">
      <c r="J38" t="s">
        <v>56</v>
      </c>
      <c r="T38" s="13" t="s">
        <v>70</v>
      </c>
    </row>
    <row r="39" spans="1:20" x14ac:dyDescent="0.3">
      <c r="J39" t="s">
        <v>57</v>
      </c>
      <c r="T39" s="5" t="s">
        <v>71</v>
      </c>
    </row>
    <row r="40" spans="1:20" x14ac:dyDescent="0.3">
      <c r="P40" t="s">
        <v>72</v>
      </c>
    </row>
  </sheetData>
  <sortState xmlns:xlrd2="http://schemas.microsoft.com/office/spreadsheetml/2017/richdata2" ref="A2:A37">
    <sortCondition ref="A2:A3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fORCAST</vt:lpstr>
      <vt:lpstr>WEBVISIT_Sales_LINEAR</vt:lpstr>
      <vt:lpstr>adv_ sales_linear</vt:lpstr>
      <vt:lpstr>MULTIPLE REGRESSION</vt:lpstr>
      <vt:lpstr>Discount_sales_slr</vt:lpstr>
      <vt:lpstr>Historical_Data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vishnu pratap singh</cp:lastModifiedBy>
  <dcterms:created xsi:type="dcterms:W3CDTF">2026-08-12T09:12:49Z</dcterms:created>
  <dcterms:modified xsi:type="dcterms:W3CDTF">2026-09-28T09:47:39Z</dcterms:modified>
</cp:coreProperties>
</file>